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 de Dependências" sheetId="1" state="visible" r:id="rId1"/>
    <sheet name="Cronograma" sheetId="2" state="visible" r:id="rId2"/>
    <sheet name="Registro de Ocorrê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D21A18"/>
      <sz val="14"/>
    </font>
    <font>
      <name val="Arial"/>
      <b val="1"/>
      <color rgb="00A31210"/>
      <sz val="10"/>
    </font>
    <font>
      <name val="Arial"/>
      <b val="1"/>
      <sz val="10"/>
    </font>
    <font>
      <name val="Arial"/>
      <color rgb="0064748B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D21A18"/>
      <sz val="10"/>
    </font>
    <font>
      <name val="Arial"/>
      <b val="1"/>
      <color rgb="00D21A18"/>
      <sz val="11"/>
    </font>
    <font>
      <name val="Arial"/>
      <i val="1"/>
      <color rgb="0094A3B8"/>
      <sz val="10"/>
    </font>
  </fonts>
  <fills count="5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D21A18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6E9EF"/>
      </left>
      <right style="thin">
        <color rgb="00E6E9EF"/>
      </right>
      <top style="thin">
        <color rgb="00E6E9EF"/>
      </top>
      <bottom style="thin">
        <color rgb="00E6E9E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164" fontId="3" fillId="2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4" fontId="3" fillId="0" borderId="1" pivotButton="0" quotePrefix="0" xfId="0"/>
    <xf numFmtId="164" fontId="8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164" fontId="5" fillId="2" borderId="1" pivotButton="0" quotePrefix="0" xfId="0"/>
    <xf numFmtId="0" fontId="5" fillId="2" borderId="1" pivotButton="0" quotePrefix="0" xfId="0"/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4" customWidth="1" min="3" max="3"/>
    <col width="32" customWidth="1" min="4" max="4"/>
    <col width="13" customWidth="1" min="5" max="5"/>
    <col width="8" customWidth="1" min="6" max="6"/>
    <col width="10" customWidth="1" min="7" max="7"/>
    <col width="13" customWidth="1" min="8" max="8"/>
    <col width="14" customWidth="1" min="9" max="9"/>
    <col width="13" customWidth="1" min="10" max="10"/>
    <col width="13" customWidth="1" min="11" max="11"/>
    <col width="11" customWidth="1" min="12" max="12"/>
    <col width="22" customWidth="1" min="13" max="13"/>
    <col width="40" customWidth="1" min="14" max="14"/>
  </cols>
  <sheetData>
    <row r="1">
      <c r="A1" s="1" t="inlineStr">
        <is>
          <t>IMPLANTAÇÃO ALINHAJÁ — MAPA DE DEPENDÊNCIAS</t>
        </is>
      </c>
    </row>
    <row r="3">
      <c r="A3" s="2" t="inlineStr">
        <is>
          <t>Cliente</t>
        </is>
      </c>
      <c r="C3" s="3" t="inlineStr">
        <is>
          <t>DuBairro Supermercados</t>
        </is>
      </c>
      <c r="F3" s="2" t="inlineStr">
        <is>
          <t>SITUAÇÃO ATUAL</t>
        </is>
      </c>
    </row>
    <row r="4">
      <c r="A4" s="2" t="inlineStr">
        <is>
          <t>Data do kickoff</t>
        </is>
      </c>
      <c r="C4" s="4" t="n"/>
      <c r="D4" s="5" t="inlineStr">
        <is>
          <t>← preencher: define todas as datas-limite</t>
        </is>
      </c>
      <c r="F4" s="6" t="inlineStr">
        <is>
          <t>Itens mapeados</t>
        </is>
      </c>
      <c r="H4" s="7">
        <f>COUNTA(B10:B39)</f>
        <v/>
      </c>
      <c r="I4" s="6" t="inlineStr">
        <is>
          <t>Dias de impacto acumulado</t>
        </is>
      </c>
      <c r="K4" s="7">
        <f>SUM(L10:L39)</f>
        <v/>
      </c>
    </row>
    <row r="5">
      <c r="A5" s="2" t="inlineStr">
        <is>
          <t>Nº de usuários</t>
        </is>
      </c>
      <c r="C5" s="3" t="n">
        <v>187</v>
      </c>
      <c r="F5" s="6" t="inlineStr">
        <is>
          <t>Recebidos</t>
        </is>
      </c>
      <c r="H5" s="7">
        <f>COUNTIF(I10:I39,"Recebido")</f>
        <v/>
      </c>
    </row>
    <row r="6">
      <c r="A6" s="2" t="inlineStr">
        <is>
          <t>Modelo de implantação</t>
        </is>
      </c>
      <c r="C6" s="3" t="inlineStr">
        <is>
          <t>Híbrido — banco em VM do cliente</t>
        </is>
      </c>
      <c r="F6" s="6" t="inlineStr">
        <is>
          <t>Pendentes</t>
        </is>
      </c>
      <c r="H6" s="7">
        <f>COUNTIF(I10:I39,"Pendente")</f>
        <v/>
      </c>
    </row>
    <row r="7">
      <c r="F7" s="6" t="inlineStr">
        <is>
          <t>Bloqueantes em aberto</t>
        </is>
      </c>
      <c r="H7" s="7">
        <f>COUNTIFS(F10:F39,"Sim",I10:I39,"Pendente")</f>
        <v/>
      </c>
    </row>
    <row r="9">
      <c r="A9" s="8" t="inlineStr">
        <is>
          <t>#</t>
        </is>
      </c>
      <c r="B9" s="8" t="inlineStr">
        <is>
          <t>Fase</t>
        </is>
      </c>
      <c r="C9" s="8" t="inlineStr">
        <is>
          <t>Item / informação necessária</t>
        </is>
      </c>
      <c r="D9" s="8" t="inlineStr">
        <is>
          <t>Formato esperado</t>
        </is>
      </c>
      <c r="E9" s="8" t="inlineStr">
        <is>
          <t>Responsável</t>
        </is>
      </c>
      <c r="F9" s="8" t="inlineStr">
        <is>
          <t>Bloq.</t>
        </is>
      </c>
      <c r="G9" s="8" t="inlineStr">
        <is>
          <t>Prazo (D+)</t>
        </is>
      </c>
      <c r="H9" s="8" t="inlineStr">
        <is>
          <t>Data-limite</t>
        </is>
      </c>
      <c r="I9" s="8" t="inlineStr">
        <is>
          <t>Status</t>
        </is>
      </c>
      <c r="J9" s="8" t="inlineStr">
        <is>
          <t>Solicitado em</t>
        </is>
      </c>
      <c r="K9" s="8" t="inlineStr">
        <is>
          <t>Recebido em</t>
        </is>
      </c>
      <c r="L9" s="8" t="inlineStr">
        <is>
          <t>Dias de atraso</t>
        </is>
      </c>
      <c r="M9" s="8" t="inlineStr">
        <is>
          <t>Etapa impactada</t>
        </is>
      </c>
      <c r="N9" s="8" t="inlineStr">
        <is>
          <t>Justificativa / observação</t>
        </is>
      </c>
    </row>
    <row r="10">
      <c r="A10" s="9" t="n">
        <v>1</v>
      </c>
      <c r="B10" s="9" t="inlineStr">
        <is>
          <t>0</t>
        </is>
      </c>
      <c r="C10" s="10" t="inlineStr">
        <is>
          <t>Ponto focal e equipe do projeto</t>
        </is>
      </c>
      <c r="D10" s="10" t="inlineStr">
        <is>
          <t>Nome, cargo, telefone e e-mail</t>
        </is>
      </c>
      <c r="E10" s="9" t="inlineStr">
        <is>
          <t>Cliente</t>
        </is>
      </c>
      <c r="F10" s="11" t="inlineStr">
        <is>
          <t>Sim</t>
        </is>
      </c>
      <c r="G10" s="9" t="n">
        <v>1</v>
      </c>
      <c r="H10" s="12">
        <f>IF($C$4="","",WORKDAY($C$4,G10-1))</f>
        <v/>
      </c>
      <c r="I10" s="13" t="inlineStr">
        <is>
          <t>Pendente</t>
        </is>
      </c>
      <c r="J10" s="14" t="n"/>
      <c r="K10" s="14" t="n"/>
      <c r="L10" s="9">
        <f>IF(OR($C$4="",I10="Não se aplica"),"",IF(K10&lt;&gt;"",MAX(0,K10-H10),IF(TODAY()&gt;H10,TODAY()-H10,0)))</f>
        <v/>
      </c>
      <c r="M10" s="10" t="inlineStr">
        <is>
          <t>0.1 Kickoff</t>
        </is>
      </c>
      <c r="N10" s="15" t="n"/>
    </row>
    <row r="11">
      <c r="A11" s="16" t="n">
        <v>2</v>
      </c>
      <c r="B11" s="16" t="inlineStr">
        <is>
          <t>0</t>
        </is>
      </c>
      <c r="C11" s="17" t="inlineStr">
        <is>
          <t>Razão social</t>
        </is>
      </c>
      <c r="D11" s="17" t="inlineStr">
        <is>
          <t>Como consta no cartão CNPJ</t>
        </is>
      </c>
      <c r="E11" s="16" t="inlineStr">
        <is>
          <t>Cliente</t>
        </is>
      </c>
      <c r="F11" s="18" t="inlineStr">
        <is>
          <t>Sim</t>
        </is>
      </c>
      <c r="G11" s="16" t="n">
        <v>3</v>
      </c>
      <c r="H11" s="19">
        <f>IF($C$4="","",WORKDAY($C$4,G11-1))</f>
        <v/>
      </c>
      <c r="I11" s="13" t="inlineStr">
        <is>
          <t>Pendente</t>
        </is>
      </c>
      <c r="J11" s="14" t="n"/>
      <c r="K11" s="14" t="n"/>
      <c r="L11" s="16">
        <f>IF(OR($C$4="",I11="Não se aplica"),"",IF(K11&lt;&gt;"",MAX(0,K11-H11),IF(TODAY()&gt;H11,TODAY()-H11,0)))</f>
        <v/>
      </c>
      <c r="M11" s="17" t="inlineStr">
        <is>
          <t>1.4 Documentos legais</t>
        </is>
      </c>
      <c r="N11" s="15" t="n"/>
    </row>
    <row r="12">
      <c r="A12" s="9" t="n">
        <v>3</v>
      </c>
      <c r="B12" s="9" t="inlineStr">
        <is>
          <t>0</t>
        </is>
      </c>
      <c r="C12" s="10" t="inlineStr">
        <is>
          <t>CNPJ</t>
        </is>
      </c>
      <c r="D12" s="10" t="inlineStr">
        <is>
          <t>00.000.000/0001-00</t>
        </is>
      </c>
      <c r="E12" s="9" t="inlineStr">
        <is>
          <t>Cliente</t>
        </is>
      </c>
      <c r="F12" s="11" t="inlineStr">
        <is>
          <t>Sim</t>
        </is>
      </c>
      <c r="G12" s="9" t="n">
        <v>3</v>
      </c>
      <c r="H12" s="12">
        <f>IF($C$4="","",WORKDAY($C$4,G12-1))</f>
        <v/>
      </c>
      <c r="I12" s="13" t="inlineStr">
        <is>
          <t>Pendente</t>
        </is>
      </c>
      <c r="J12" s="14" t="n"/>
      <c r="K12" s="14" t="n"/>
      <c r="L12" s="9">
        <f>IF(OR($C$4="",I12="Não se aplica"),"",IF(K12&lt;&gt;"",MAX(0,K12-H12),IF(TODAY()&gt;H12,TODAY()-H12,0)))</f>
        <v/>
      </c>
      <c r="M12" s="10" t="inlineStr">
        <is>
          <t>1.4 Documentos legais</t>
        </is>
      </c>
      <c r="N12" s="15" t="n"/>
    </row>
    <row r="13">
      <c r="A13" s="16" t="n">
        <v>4</v>
      </c>
      <c r="B13" s="16" t="inlineStr">
        <is>
          <t>0</t>
        </is>
      </c>
      <c r="C13" s="17" t="inlineStr">
        <is>
          <t>Endereço da sede</t>
        </is>
      </c>
      <c r="D13" s="17" t="inlineStr">
        <is>
          <t>Rua, nº, bairro, cidade/UF, CEP</t>
        </is>
      </c>
      <c r="E13" s="16" t="inlineStr">
        <is>
          <t>Cliente</t>
        </is>
      </c>
      <c r="F13" s="18" t="inlineStr">
        <is>
          <t>Sim</t>
        </is>
      </c>
      <c r="G13" s="16" t="n">
        <v>3</v>
      </c>
      <c r="H13" s="19">
        <f>IF($C$4="","",WORKDAY($C$4,G13-1))</f>
        <v/>
      </c>
      <c r="I13" s="13" t="inlineStr">
        <is>
          <t>Pendente</t>
        </is>
      </c>
      <c r="J13" s="14" t="n"/>
      <c r="K13" s="14" t="n"/>
      <c r="L13" s="16">
        <f>IF(OR($C$4="",I13="Não se aplica"),"",IF(K13&lt;&gt;"",MAX(0,K13-H13),IF(TODAY()&gt;H13,TODAY()-H13,0)))</f>
        <v/>
      </c>
      <c r="M13" s="17" t="inlineStr">
        <is>
          <t>1.4 Documentos legais</t>
        </is>
      </c>
      <c r="N13" s="15" t="n"/>
    </row>
    <row r="14">
      <c r="A14" s="9" t="n">
        <v>5</v>
      </c>
      <c r="B14" s="9" t="inlineStr">
        <is>
          <t>0</t>
        </is>
      </c>
      <c r="C14" s="10" t="inlineStr">
        <is>
          <t>Encarregado de dados (DPO)</t>
        </is>
      </c>
      <c r="D14" s="10" t="inlineStr">
        <is>
          <t>Nome completo do indicado</t>
        </is>
      </c>
      <c r="E14" s="9" t="inlineStr">
        <is>
          <t>Cliente</t>
        </is>
      </c>
      <c r="F14" s="11" t="inlineStr">
        <is>
          <t>Sim</t>
        </is>
      </c>
      <c r="G14" s="9" t="n">
        <v>3</v>
      </c>
      <c r="H14" s="12">
        <f>IF($C$4="","",WORKDAY($C$4,G14-1))</f>
        <v/>
      </c>
      <c r="I14" s="13" t="inlineStr">
        <is>
          <t>Pendente</t>
        </is>
      </c>
      <c r="J14" s="14" t="n"/>
      <c r="K14" s="14" t="n"/>
      <c r="L14" s="9">
        <f>IF(OR($C$4="",I14="Não se aplica"),"",IF(K14&lt;&gt;"",MAX(0,K14-H14),IF(TODAY()&gt;H14,TODAY()-H14,0)))</f>
        <v/>
      </c>
      <c r="M14" s="10" t="inlineStr">
        <is>
          <t>1.4 Documentos legais</t>
        </is>
      </c>
      <c r="N14" s="15" t="n"/>
    </row>
    <row r="15">
      <c r="A15" s="16" t="n">
        <v>6</v>
      </c>
      <c r="B15" s="16" t="inlineStr">
        <is>
          <t>0</t>
        </is>
      </c>
      <c r="C15" s="17" t="inlineStr">
        <is>
          <t>E-mail do Encarregado</t>
        </is>
      </c>
      <c r="D15" s="17" t="inlineStr">
        <is>
          <t>Endereço institucional</t>
        </is>
      </c>
      <c r="E15" s="16" t="inlineStr">
        <is>
          <t>Cliente</t>
        </is>
      </c>
      <c r="F15" s="18" t="inlineStr">
        <is>
          <t>Sim</t>
        </is>
      </c>
      <c r="G15" s="16" t="n">
        <v>3</v>
      </c>
      <c r="H15" s="19">
        <f>IF($C$4="","",WORKDAY($C$4,G15-1))</f>
        <v/>
      </c>
      <c r="I15" s="13" t="inlineStr">
        <is>
          <t>Pendente</t>
        </is>
      </c>
      <c r="J15" s="14" t="n"/>
      <c r="K15" s="14" t="n"/>
      <c r="L15" s="16">
        <f>IF(OR($C$4="",I15="Não se aplica"),"",IF(K15&lt;&gt;"",MAX(0,K15-H15),IF(TODAY()&gt;H15,TODAY()-H15,0)))</f>
        <v/>
      </c>
      <c r="M15" s="17" t="inlineStr">
        <is>
          <t>1.4 Documentos legais</t>
        </is>
      </c>
      <c r="N15" s="15" t="n"/>
    </row>
    <row r="16">
      <c r="A16" s="9" t="n">
        <v>7</v>
      </c>
      <c r="B16" s="9" t="inlineStr">
        <is>
          <t>0</t>
        </is>
      </c>
      <c r="C16" s="10" t="inlineStr">
        <is>
          <t>Data de vigência dos documentos</t>
        </is>
      </c>
      <c r="D16" s="10" t="inlineStr">
        <is>
          <t>DD/MM/AAAA</t>
        </is>
      </c>
      <c r="E16" s="9" t="inlineStr">
        <is>
          <t>Cliente</t>
        </is>
      </c>
      <c r="F16" s="11" t="inlineStr">
        <is>
          <t>Sim</t>
        </is>
      </c>
      <c r="G16" s="9" t="n">
        <v>3</v>
      </c>
      <c r="H16" s="12">
        <f>IF($C$4="","",WORKDAY($C$4,G16-1))</f>
        <v/>
      </c>
      <c r="I16" s="13" t="inlineStr">
        <is>
          <t>Pendente</t>
        </is>
      </c>
      <c r="J16" s="14" t="n"/>
      <c r="K16" s="14" t="n"/>
      <c r="L16" s="9">
        <f>IF(OR($C$4="",I16="Não se aplica"),"",IF(K16&lt;&gt;"",MAX(0,K16-H16),IF(TODAY()&gt;H16,TODAY()-H16,0)))</f>
        <v/>
      </c>
      <c r="M16" s="10" t="inlineStr">
        <is>
          <t>1.4 Documentos legais</t>
        </is>
      </c>
      <c r="N16" s="15" t="n"/>
    </row>
    <row r="17">
      <c r="A17" s="16" t="n">
        <v>8</v>
      </c>
      <c r="B17" s="16" t="inlineStr">
        <is>
          <t>0</t>
        </is>
      </c>
      <c r="C17" s="17" t="inlineStr">
        <is>
          <t>Comarca do foro</t>
        </is>
      </c>
      <c r="D17" s="17" t="inlineStr">
        <is>
          <t>Cidade/UF</t>
        </is>
      </c>
      <c r="E17" s="16" t="inlineStr">
        <is>
          <t>Cliente</t>
        </is>
      </c>
      <c r="F17" s="16" t="inlineStr">
        <is>
          <t>Não</t>
        </is>
      </c>
      <c r="G17" s="16" t="n">
        <v>3</v>
      </c>
      <c r="H17" s="19">
        <f>IF($C$4="","",WORKDAY($C$4,G17-1))</f>
        <v/>
      </c>
      <c r="I17" s="13" t="inlineStr">
        <is>
          <t>Pendente</t>
        </is>
      </c>
      <c r="J17" s="14" t="n"/>
      <c r="K17" s="14" t="n"/>
      <c r="L17" s="16">
        <f>IF(OR($C$4="",I17="Não se aplica"),"",IF(K17&lt;&gt;"",MAX(0,K17-H17),IF(TODAY()&gt;H17,TODAY()-H17,0)))</f>
        <v/>
      </c>
      <c r="M17" s="17" t="inlineStr">
        <is>
          <t>1.4 Documentos legais</t>
        </is>
      </c>
      <c r="N17" s="15" t="n"/>
    </row>
    <row r="18">
      <c r="A18" s="9" t="n">
        <v>9</v>
      </c>
      <c r="B18" s="9" t="inlineStr">
        <is>
          <t>0</t>
        </is>
      </c>
      <c r="C18" s="10" t="inlineStr">
        <is>
          <t>Telefone de plantão</t>
        </is>
      </c>
      <c r="D18" s="10" t="inlineStr">
        <is>
          <t>Contato para incidentes</t>
        </is>
      </c>
      <c r="E18" s="9" t="inlineStr">
        <is>
          <t>Cliente</t>
        </is>
      </c>
      <c r="F18" s="9" t="inlineStr">
        <is>
          <t>Não</t>
        </is>
      </c>
      <c r="G18" s="9" t="n">
        <v>3</v>
      </c>
      <c r="H18" s="12">
        <f>IF($C$4="","",WORKDAY($C$4,G18-1))</f>
        <v/>
      </c>
      <c r="I18" s="13" t="inlineStr">
        <is>
          <t>Pendente</t>
        </is>
      </c>
      <c r="J18" s="14" t="n"/>
      <c r="K18" s="14" t="n"/>
      <c r="L18" s="9">
        <f>IF(OR($C$4="",I18="Não se aplica"),"",IF(K18&lt;&gt;"",MAX(0,K18-H18),IF(TODAY()&gt;H18,TODAY()-H18,0)))</f>
        <v/>
      </c>
      <c r="M18" s="10" t="inlineStr">
        <is>
          <t>1.4 Documentos legais</t>
        </is>
      </c>
      <c r="N18" s="15" t="n"/>
    </row>
    <row r="19">
      <c r="A19" s="16" t="n">
        <v>10</v>
      </c>
      <c r="B19" s="16" t="inlineStr">
        <is>
          <t>0</t>
        </is>
      </c>
      <c r="C19" s="17" t="inlineStr">
        <is>
          <t>Confirmação dos prazos de retenção</t>
        </is>
      </c>
      <c r="D19" s="17" t="inlineStr">
        <is>
          <t>GPS, candidatos e mensagens</t>
        </is>
      </c>
      <c r="E19" s="16" t="inlineStr">
        <is>
          <t>Cliente</t>
        </is>
      </c>
      <c r="F19" s="16" t="inlineStr">
        <is>
          <t>Não</t>
        </is>
      </c>
      <c r="G19" s="16" t="n">
        <v>3</v>
      </c>
      <c r="H19" s="19">
        <f>IF($C$4="","",WORKDAY($C$4,G19-1))</f>
        <v/>
      </c>
      <c r="I19" s="13" t="inlineStr">
        <is>
          <t>Pendente</t>
        </is>
      </c>
      <c r="J19" s="14" t="n"/>
      <c r="K19" s="14" t="n"/>
      <c r="L19" s="16">
        <f>IF(OR($C$4="",I19="Não se aplica"),"",IF(K19&lt;&gt;"",MAX(0,K19-H19),IF(TODAY()&gt;H19,TODAY()-H19,0)))</f>
        <v/>
      </c>
      <c r="M19" s="17" t="inlineStr">
        <is>
          <t>1.6 Parâmetros</t>
        </is>
      </c>
      <c r="N19" s="15" t="n"/>
    </row>
    <row r="20">
      <c r="A20" s="9" t="n">
        <v>11</v>
      </c>
      <c r="B20" s="9" t="inlineStr">
        <is>
          <t>0</t>
        </is>
      </c>
      <c r="C20" s="10" t="inlineStr">
        <is>
          <t>Identidade visual</t>
        </is>
      </c>
      <c r="D20" s="10" t="inlineStr">
        <is>
          <t>Logotipo (PNG) e cores da marca</t>
        </is>
      </c>
      <c r="E20" s="9" t="inlineStr">
        <is>
          <t>Cliente</t>
        </is>
      </c>
      <c r="F20" s="9" t="inlineStr">
        <is>
          <t>Não</t>
        </is>
      </c>
      <c r="G20" s="9" t="n">
        <v>3</v>
      </c>
      <c r="H20" s="12">
        <f>IF($C$4="","",WORKDAY($C$4,G20-1))</f>
        <v/>
      </c>
      <c r="I20" s="13" t="inlineStr">
        <is>
          <t>Pendente</t>
        </is>
      </c>
      <c r="J20" s="14" t="n"/>
      <c r="K20" s="14" t="n"/>
      <c r="L20" s="9">
        <f>IF(OR($C$4="",I20="Não se aplica"),"",IF(K20&lt;&gt;"",MAX(0,K20-H20),IF(TODAY()&gt;H20,TODAY()-H20,0)))</f>
        <v/>
      </c>
      <c r="M20" s="10" t="inlineStr">
        <is>
          <t>1.3 White-label</t>
        </is>
      </c>
      <c r="N20" s="15" t="n"/>
    </row>
    <row r="21">
      <c r="A21" s="16" t="n">
        <v>12</v>
      </c>
      <c r="B21" s="16" t="inlineStr">
        <is>
          <t>1</t>
        </is>
      </c>
      <c r="C21" s="17" t="inlineStr">
        <is>
          <t>VM provisionada</t>
        </is>
      </c>
      <c r="D21" s="17" t="inlineStr">
        <is>
          <t>8 vCPU, 16 GB RAM, 250 GB SSD, Ubuntu 24.04 LTS</t>
        </is>
      </c>
      <c r="E21" s="16" t="inlineStr">
        <is>
          <t>Cliente</t>
        </is>
      </c>
      <c r="F21" s="18" t="inlineStr">
        <is>
          <t>Sim</t>
        </is>
      </c>
      <c r="G21" s="16" t="n">
        <v>4</v>
      </c>
      <c r="H21" s="19">
        <f>IF($C$4="","",WORKDAY($C$4,G21-1))</f>
        <v/>
      </c>
      <c r="I21" s="13" t="inlineStr">
        <is>
          <t>Pendente</t>
        </is>
      </c>
      <c r="J21" s="14" t="n"/>
      <c r="K21" s="14" t="n"/>
      <c r="L21" s="16">
        <f>IF(OR($C$4="",I21="Não se aplica"),"",IF(K21&lt;&gt;"",MAX(0,K21-H21),IF(TODAY()&gt;H21,TODAY()-H21,0)))</f>
        <v/>
      </c>
      <c r="M21" s="17" t="inlineStr">
        <is>
          <t>1.1 Ambiente</t>
        </is>
      </c>
      <c r="N21" s="15" t="n"/>
    </row>
    <row r="22">
      <c r="A22" s="9" t="n">
        <v>13</v>
      </c>
      <c r="B22" s="9" t="inlineStr">
        <is>
          <t>1</t>
        </is>
      </c>
      <c r="C22" s="10" t="inlineStr">
        <is>
          <t>Acesso administrativo à VM</t>
        </is>
      </c>
      <c r="D22" s="10" t="inlineStr">
        <is>
          <t>SSH com chave, usuário com sudo</t>
        </is>
      </c>
      <c r="E22" s="9" t="inlineStr">
        <is>
          <t>Cliente</t>
        </is>
      </c>
      <c r="F22" s="11" t="inlineStr">
        <is>
          <t>Sim</t>
        </is>
      </c>
      <c r="G22" s="9" t="n">
        <v>4</v>
      </c>
      <c r="H22" s="12">
        <f>IF($C$4="","",WORKDAY($C$4,G22-1))</f>
        <v/>
      </c>
      <c r="I22" s="13" t="inlineStr">
        <is>
          <t>Pendente</t>
        </is>
      </c>
      <c r="J22" s="14" t="n"/>
      <c r="K22" s="14" t="n"/>
      <c r="L22" s="9">
        <f>IF(OR($C$4="",I22="Não se aplica"),"",IF(K22&lt;&gt;"",MAX(0,K22-H22),IF(TODAY()&gt;H22,TODAY()-H22,0)))</f>
        <v/>
      </c>
      <c r="M22" s="10" t="inlineStr">
        <is>
          <t>1.1 Ambiente</t>
        </is>
      </c>
      <c r="N22" s="15" t="n"/>
    </row>
    <row r="23">
      <c r="A23" s="16" t="n">
        <v>14</v>
      </c>
      <c r="B23" s="16" t="inlineStr">
        <is>
          <t>1</t>
        </is>
      </c>
      <c r="C23" s="17" t="inlineStr">
        <is>
          <t>Registro DNS</t>
        </is>
      </c>
      <c r="D23" s="17" t="inlineStr">
        <is>
          <t>Subdomínio apontando para a VM</t>
        </is>
      </c>
      <c r="E23" s="16" t="inlineStr">
        <is>
          <t>Cliente</t>
        </is>
      </c>
      <c r="F23" s="18" t="inlineStr">
        <is>
          <t>Sim</t>
        </is>
      </c>
      <c r="G23" s="16" t="n">
        <v>5</v>
      </c>
      <c r="H23" s="19">
        <f>IF($C$4="","",WORKDAY($C$4,G23-1))</f>
        <v/>
      </c>
      <c r="I23" s="13" t="inlineStr">
        <is>
          <t>Pendente</t>
        </is>
      </c>
      <c r="J23" s="14" t="n"/>
      <c r="K23" s="14" t="n"/>
      <c r="L23" s="16">
        <f>IF(OR($C$4="",I23="Não se aplica"),"",IF(K23&lt;&gt;"",MAX(0,K23-H23),IF(TODAY()&gt;H23,TODAY()-H23,0)))</f>
        <v/>
      </c>
      <c r="M23" s="17" t="inlineStr">
        <is>
          <t>1.1 Ambiente</t>
        </is>
      </c>
      <c r="N23" s="15" t="n"/>
    </row>
    <row r="24">
      <c r="A24" s="9" t="n">
        <v>15</v>
      </c>
      <c r="B24" s="9" t="inlineStr">
        <is>
          <t>1</t>
        </is>
      </c>
      <c r="C24" s="10" t="inlineStr">
        <is>
          <t>Certificado TLS</t>
        </is>
      </c>
      <c r="D24" s="10" t="inlineStr">
        <is>
          <t>Emissor público ou CA interna</t>
        </is>
      </c>
      <c r="E24" s="9" t="inlineStr">
        <is>
          <t>Conjunto</t>
        </is>
      </c>
      <c r="F24" s="11" t="inlineStr">
        <is>
          <t>Sim</t>
        </is>
      </c>
      <c r="G24" s="9" t="n">
        <v>5</v>
      </c>
      <c r="H24" s="12">
        <f>IF($C$4="","",WORKDAY($C$4,G24-1))</f>
        <v/>
      </c>
      <c r="I24" s="13" t="inlineStr">
        <is>
          <t>Pendente</t>
        </is>
      </c>
      <c r="J24" s="14" t="n"/>
      <c r="K24" s="14" t="n"/>
      <c r="L24" s="9">
        <f>IF(OR($C$4="",I24="Não se aplica"),"",IF(K24&lt;&gt;"",MAX(0,K24-H24),IF(TODAY()&gt;H24,TODAY()-H24,0)))</f>
        <v/>
      </c>
      <c r="M24" s="10" t="inlineStr">
        <is>
          <t>1.1 Ambiente</t>
        </is>
      </c>
      <c r="N24" s="15" t="n"/>
    </row>
    <row r="25">
      <c r="A25" s="16" t="n">
        <v>16</v>
      </c>
      <c r="B25" s="16" t="inlineStr">
        <is>
          <t>1</t>
        </is>
      </c>
      <c r="C25" s="17" t="inlineStr">
        <is>
          <t>Liberação de firewall</t>
        </is>
      </c>
      <c r="D25" s="17" t="inlineStr">
        <is>
          <t>Entrada 443; saída para push, SMTP e IA</t>
        </is>
      </c>
      <c r="E25" s="16" t="inlineStr">
        <is>
          <t>Cliente</t>
        </is>
      </c>
      <c r="F25" s="18" t="inlineStr">
        <is>
          <t>Sim</t>
        </is>
      </c>
      <c r="G25" s="16" t="n">
        <v>5</v>
      </c>
      <c r="H25" s="19">
        <f>IF($C$4="","",WORKDAY($C$4,G25-1))</f>
        <v/>
      </c>
      <c r="I25" s="13" t="inlineStr">
        <is>
          <t>Pendente</t>
        </is>
      </c>
      <c r="J25" s="14" t="n"/>
      <c r="K25" s="14" t="n"/>
      <c r="L25" s="16">
        <f>IF(OR($C$4="",I25="Não se aplica"),"",IF(K25&lt;&gt;"",MAX(0,K25-H25),IF(TODAY()&gt;H25,TODAY()-H25,0)))</f>
        <v/>
      </c>
      <c r="M25" s="17" t="inlineStr">
        <is>
          <t>1.1 Ambiente</t>
        </is>
      </c>
      <c r="N25" s="15" t="n"/>
    </row>
    <row r="26">
      <c r="A26" s="9" t="n">
        <v>17</v>
      </c>
      <c r="B26" s="9" t="inlineStr">
        <is>
          <t>1</t>
        </is>
      </c>
      <c r="C26" s="10" t="inlineStr">
        <is>
          <t>Estrutura organizacional</t>
        </is>
      </c>
      <c r="D26" s="10" t="inlineStr">
        <is>
          <t>Filiais, departamentos e cargos</t>
        </is>
      </c>
      <c r="E26" s="9" t="inlineStr">
        <is>
          <t>Cliente</t>
        </is>
      </c>
      <c r="F26" s="11" t="inlineStr">
        <is>
          <t>Sim</t>
        </is>
      </c>
      <c r="G26" s="9" t="n">
        <v>6</v>
      </c>
      <c r="H26" s="12">
        <f>IF($C$4="","",WORKDAY($C$4,G26-1))</f>
        <v/>
      </c>
      <c r="I26" s="13" t="inlineStr">
        <is>
          <t>Pendente</t>
        </is>
      </c>
      <c r="J26" s="14" t="n"/>
      <c r="K26" s="14" t="n"/>
      <c r="L26" s="9">
        <f>IF(OR($C$4="",I26="Não se aplica"),"",IF(K26&lt;&gt;"",MAX(0,K26-H26),IF(TODAY()&gt;H26,TODAY()-H26,0)))</f>
        <v/>
      </c>
      <c r="M26" s="10" t="inlineStr">
        <is>
          <t>1.5 Organograma</t>
        </is>
      </c>
      <c r="N26" s="15" t="n"/>
    </row>
    <row r="27">
      <c r="A27" s="16" t="n">
        <v>18</v>
      </c>
      <c r="B27" s="16" t="inlineStr">
        <is>
          <t>1</t>
        </is>
      </c>
      <c r="C27" s="17" t="inlineStr">
        <is>
          <t>Indicação dos administradores</t>
        </is>
      </c>
      <c r="D27" s="17" t="inlineStr">
        <is>
          <t>Quem terá perfil de administrador</t>
        </is>
      </c>
      <c r="E27" s="16" t="inlineStr">
        <is>
          <t>Cliente</t>
        </is>
      </c>
      <c r="F27" s="16" t="inlineStr">
        <is>
          <t>Não</t>
        </is>
      </c>
      <c r="G27" s="16" t="n">
        <v>6</v>
      </c>
      <c r="H27" s="19">
        <f>IF($C$4="","",WORKDAY($C$4,G27-1))</f>
        <v/>
      </c>
      <c r="I27" s="13" t="inlineStr">
        <is>
          <t>Pendente</t>
        </is>
      </c>
      <c r="J27" s="14" t="n"/>
      <c r="K27" s="14" t="n"/>
      <c r="L27" s="16">
        <f>IF(OR($C$4="",I27="Não se aplica"),"",IF(K27&lt;&gt;"",MAX(0,K27-H27),IF(TODAY()&gt;H27,TODAY()-H27,0)))</f>
        <v/>
      </c>
      <c r="M27" s="17" t="inlineStr">
        <is>
          <t>2.2 Perfis</t>
        </is>
      </c>
      <c r="N27" s="15" t="n"/>
    </row>
    <row r="28">
      <c r="A28" s="9" t="n">
        <v>19</v>
      </c>
      <c r="B28" s="9" t="inlineStr">
        <is>
          <t>1</t>
        </is>
      </c>
      <c r="C28" s="10" t="inlineStr">
        <is>
          <t>Política de backup e snapshot da VM</t>
        </is>
      </c>
      <c r="D28" s="10" t="inlineStr">
        <is>
          <t>Frequência, retenção e responsável</t>
        </is>
      </c>
      <c r="E28" s="9" t="inlineStr">
        <is>
          <t>Cliente</t>
        </is>
      </c>
      <c r="F28" s="9" t="inlineStr">
        <is>
          <t>Não</t>
        </is>
      </c>
      <c r="G28" s="9" t="n">
        <v>8</v>
      </c>
      <c r="H28" s="12">
        <f>IF($C$4="","",WORKDAY($C$4,G28-1))</f>
        <v/>
      </c>
      <c r="I28" s="13" t="inlineStr">
        <is>
          <t>Pendente</t>
        </is>
      </c>
      <c r="J28" s="14" t="n"/>
      <c r="K28" s="14" t="n"/>
      <c r="L28" s="9">
        <f>IF(OR($C$4="",I28="Não se aplica"),"",IF(K28&lt;&gt;"",MAX(0,K28-H28),IF(TODAY()&gt;H28,TODAY()-H28,0)))</f>
        <v/>
      </c>
      <c r="M28" s="10" t="inlineStr">
        <is>
          <t>5.4 Operação</t>
        </is>
      </c>
      <c r="N28" s="15" t="n"/>
    </row>
    <row r="29">
      <c r="A29" s="16" t="n">
        <v>20</v>
      </c>
      <c r="B29" s="16" t="inlineStr">
        <is>
          <t>1</t>
        </is>
      </c>
      <c r="C29" s="17" t="inlineStr">
        <is>
          <t>Janela de manutenção acordada</t>
        </is>
      </c>
      <c r="D29" s="17" t="inlineStr">
        <is>
          <t>Dia e horário para atualizações</t>
        </is>
      </c>
      <c r="E29" s="16" t="inlineStr">
        <is>
          <t>Cliente</t>
        </is>
      </c>
      <c r="F29" s="16" t="inlineStr">
        <is>
          <t>Não</t>
        </is>
      </c>
      <c r="G29" s="16" t="n">
        <v>8</v>
      </c>
      <c r="H29" s="19">
        <f>IF($C$4="","",WORKDAY($C$4,G29-1))</f>
        <v/>
      </c>
      <c r="I29" s="13" t="inlineStr">
        <is>
          <t>Pendente</t>
        </is>
      </c>
      <c r="J29" s="14" t="n"/>
      <c r="K29" s="14" t="n"/>
      <c r="L29" s="16">
        <f>IF(OR($C$4="",I29="Não se aplica"),"",IF(K29&lt;&gt;"",MAX(0,K29-H29),IF(TODAY()&gt;H29,TODAY()-H29,0)))</f>
        <v/>
      </c>
      <c r="M29" s="17" t="inlineStr">
        <is>
          <t>5.4 Operação</t>
        </is>
      </c>
      <c r="N29" s="15" t="n"/>
    </row>
    <row r="30">
      <c r="A30" s="9" t="n">
        <v>21</v>
      </c>
      <c r="B30" s="9" t="inlineStr">
        <is>
          <t>2</t>
        </is>
      </c>
      <c r="C30" s="10" t="inlineStr">
        <is>
          <t>Lista de usuários (187)</t>
        </is>
      </c>
      <c r="D30" s="10" t="inlineStr">
        <is>
          <t>Nome, e-mail corporativo, filial, depto, cargo</t>
        </is>
      </c>
      <c r="E30" s="9" t="inlineStr">
        <is>
          <t>Cliente</t>
        </is>
      </c>
      <c r="F30" s="11" t="inlineStr">
        <is>
          <t>Sim</t>
        </is>
      </c>
      <c r="G30" s="9" t="n">
        <v>8</v>
      </c>
      <c r="H30" s="12">
        <f>IF($C$4="","",WORKDAY($C$4,G30-1))</f>
        <v/>
      </c>
      <c r="I30" s="13" t="inlineStr">
        <is>
          <t>Pendente</t>
        </is>
      </c>
      <c r="J30" s="14" t="n"/>
      <c r="K30" s="14" t="n"/>
      <c r="L30" s="9">
        <f>IF(OR($C$4="",I30="Não se aplica"),"",IF(K30&lt;&gt;"",MAX(0,K30-H30),IF(TODAY()&gt;H30,TODAY()-H30,0)))</f>
        <v/>
      </c>
      <c r="M30" s="10" t="inlineStr">
        <is>
          <t>2.3 Criação de logins</t>
        </is>
      </c>
      <c r="N30" s="15" t="n"/>
    </row>
    <row r="31">
      <c r="A31" s="16" t="n">
        <v>22</v>
      </c>
      <c r="B31" s="16" t="inlineStr">
        <is>
          <t>2</t>
        </is>
      </c>
      <c r="C31" s="17" t="inlineStr">
        <is>
          <t>Definição dos perfis de acesso</t>
        </is>
      </c>
      <c r="D31" s="17" t="inlineStr">
        <is>
          <t>Quem acessa cada módulo</t>
        </is>
      </c>
      <c r="E31" s="16" t="inlineStr">
        <is>
          <t>Conjunto</t>
        </is>
      </c>
      <c r="F31" s="18" t="inlineStr">
        <is>
          <t>Sim</t>
        </is>
      </c>
      <c r="G31" s="16" t="n">
        <v>9</v>
      </c>
      <c r="H31" s="19">
        <f>IF($C$4="","",WORKDAY($C$4,G31-1))</f>
        <v/>
      </c>
      <c r="I31" s="13" t="inlineStr">
        <is>
          <t>Pendente</t>
        </is>
      </c>
      <c r="J31" s="14" t="n"/>
      <c r="K31" s="14" t="n"/>
      <c r="L31" s="16">
        <f>IF(OR($C$4="",I31="Não se aplica"),"",IF(K31&lt;&gt;"",MAX(0,K31-H31),IF(TODAY()&gt;H31,TODAY()-H31,0)))</f>
        <v/>
      </c>
      <c r="M31" s="17" t="inlineStr">
        <is>
          <t>2.2 Perfis</t>
        </is>
      </c>
      <c r="N31" s="15" t="n"/>
    </row>
    <row r="32">
      <c r="A32" s="9" t="n">
        <v>23</v>
      </c>
      <c r="B32" s="9" t="inlineStr">
        <is>
          <t>2</t>
        </is>
      </c>
      <c r="C32" s="10" t="inlineStr">
        <is>
          <t>Bases de dados a importar</t>
        </is>
      </c>
      <c r="D32" s="10" t="inlineStr">
        <is>
          <t>Planilha tabular, campos padronizados</t>
        </is>
      </c>
      <c r="E32" s="9" t="inlineStr">
        <is>
          <t>Cliente</t>
        </is>
      </c>
      <c r="F32" s="9" t="inlineStr">
        <is>
          <t>Não</t>
        </is>
      </c>
      <c r="G32" s="9" t="n">
        <v>10</v>
      </c>
      <c r="H32" s="12">
        <f>IF($C$4="","",WORKDAY($C$4,G32-1))</f>
        <v/>
      </c>
      <c r="I32" s="13" t="inlineStr">
        <is>
          <t>Pendente</t>
        </is>
      </c>
      <c r="J32" s="14" t="n"/>
      <c r="K32" s="14" t="n"/>
      <c r="L32" s="9">
        <f>IF(OR($C$4="",I32="Não se aplica"),"",IF(K32&lt;&gt;"",MAX(0,K32-H32),IF(TODAY()&gt;H32,TODAY()-H32,0)))</f>
        <v/>
      </c>
      <c r="M32" s="10" t="inlineStr">
        <is>
          <t>2.4 Importação</t>
        </is>
      </c>
      <c r="N32" s="15" t="n"/>
    </row>
    <row r="33">
      <c r="A33" s="16" t="n">
        <v>24</v>
      </c>
      <c r="B33" s="16" t="inlineStr">
        <is>
          <t>3</t>
        </is>
      </c>
      <c r="C33" s="17" t="inlineStr">
        <is>
          <t>Definição dos fluxos de trabalho</t>
        </is>
      </c>
      <c r="D33" s="17" t="inlineStr">
        <is>
          <t>Etapas, operadores e prazos de SLA</t>
        </is>
      </c>
      <c r="E33" s="16" t="inlineStr">
        <is>
          <t>Cliente</t>
        </is>
      </c>
      <c r="F33" s="18" t="inlineStr">
        <is>
          <t>Sim</t>
        </is>
      </c>
      <c r="G33" s="16" t="n">
        <v>10</v>
      </c>
      <c r="H33" s="19">
        <f>IF($C$4="","",WORKDAY($C$4,G33-1))</f>
        <v/>
      </c>
      <c r="I33" s="13" t="inlineStr">
        <is>
          <t>Pendente</t>
        </is>
      </c>
      <c r="J33" s="14" t="n"/>
      <c r="K33" s="14" t="n"/>
      <c r="L33" s="16">
        <f>IF(OR($C$4="",I33="Não se aplica"),"",IF(K33&lt;&gt;"",MAX(0,K33-H33),IF(TODAY()&gt;H33,TODAY()-H33,0)))</f>
        <v/>
      </c>
      <c r="M33" s="17" t="inlineStr">
        <is>
          <t>3.2 Kanban</t>
        </is>
      </c>
      <c r="N33" s="15" t="n"/>
    </row>
    <row r="34">
      <c r="A34" s="9" t="n">
        <v>25</v>
      </c>
      <c r="B34" s="9" t="inlineStr">
        <is>
          <t>3</t>
        </is>
      </c>
      <c r="C34" s="10" t="inlineStr">
        <is>
          <t>Categorias de chamados</t>
        </is>
      </c>
      <c r="D34" s="10" t="inlineStr">
        <is>
          <t>Áreas atendidas e responsáveis</t>
        </is>
      </c>
      <c r="E34" s="9" t="inlineStr">
        <is>
          <t>Cliente</t>
        </is>
      </c>
      <c r="F34" s="9" t="inlineStr">
        <is>
          <t>Não</t>
        </is>
      </c>
      <c r="G34" s="9" t="n">
        <v>10</v>
      </c>
      <c r="H34" s="12">
        <f>IF($C$4="","",WORKDAY($C$4,G34-1))</f>
        <v/>
      </c>
      <c r="I34" s="13" t="inlineStr">
        <is>
          <t>Pendente</t>
        </is>
      </c>
      <c r="J34" s="14" t="n"/>
      <c r="K34" s="14" t="n"/>
      <c r="L34" s="9">
        <f>IF(OR($C$4="",I34="Não se aplica"),"",IF(K34&lt;&gt;"",MAX(0,K34-H34),IF(TODAY()&gt;H34,TODAY()-H34,0)))</f>
        <v/>
      </c>
      <c r="M34" s="10" t="inlineStr">
        <is>
          <t>3.3 Helpdesk</t>
        </is>
      </c>
      <c r="N34" s="15" t="n"/>
    </row>
    <row r="35">
      <c r="A35" s="16" t="n">
        <v>26</v>
      </c>
      <c r="B35" s="16" t="inlineStr">
        <is>
          <t>3</t>
        </is>
      </c>
      <c r="C35" s="17" t="inlineStr">
        <is>
          <t>Canais de comunicação desejados</t>
        </is>
      </c>
      <c r="D35" s="17" t="inlineStr">
        <is>
          <t>Por filial, setor ou finalidade</t>
        </is>
      </c>
      <c r="E35" s="16" t="inlineStr">
        <is>
          <t>Cliente</t>
        </is>
      </c>
      <c r="F35" s="16" t="inlineStr">
        <is>
          <t>Não</t>
        </is>
      </c>
      <c r="G35" s="16" t="n">
        <v>10</v>
      </c>
      <c r="H35" s="19">
        <f>IF($C$4="","",WORKDAY($C$4,G35-1))</f>
        <v/>
      </c>
      <c r="I35" s="13" t="inlineStr">
        <is>
          <t>Pendente</t>
        </is>
      </c>
      <c r="J35" s="14" t="n"/>
      <c r="K35" s="14" t="n"/>
      <c r="L35" s="16">
        <f>IF(OR($C$4="",I35="Não se aplica"),"",IF(K35&lt;&gt;"",MAX(0,K35-H35),IF(TODAY()&gt;H35,TODAY()-H35,0)))</f>
        <v/>
      </c>
      <c r="M35" s="17" t="inlineStr">
        <is>
          <t>3.1 Canais</t>
        </is>
      </c>
      <c r="N35" s="15" t="n"/>
    </row>
    <row r="36">
      <c r="A36" s="9" t="n">
        <v>27</v>
      </c>
      <c r="B36" s="9" t="inlineStr">
        <is>
          <t>3</t>
        </is>
      </c>
      <c r="C36" s="10" t="inlineStr">
        <is>
          <t>Credenciais do servidor de e-mail</t>
        </is>
      </c>
      <c r="D36" s="10" t="inlineStr">
        <is>
          <t>Host, porta, usuário e senha (SMTP)</t>
        </is>
      </c>
      <c r="E36" s="9" t="inlineStr">
        <is>
          <t>Cliente</t>
        </is>
      </c>
      <c r="F36" s="9" t="inlineStr">
        <is>
          <t>Não</t>
        </is>
      </c>
      <c r="G36" s="9" t="n">
        <v>12</v>
      </c>
      <c r="H36" s="12">
        <f>IF($C$4="","",WORKDAY($C$4,G36-1))</f>
        <v/>
      </c>
      <c r="I36" s="13" t="inlineStr">
        <is>
          <t>Pendente</t>
        </is>
      </c>
      <c r="J36" s="14" t="n"/>
      <c r="K36" s="14" t="n"/>
      <c r="L36" s="9">
        <f>IF(OR($C$4="",I36="Não se aplica"),"",IF(K36&lt;&gt;"",MAX(0,K36-H36),IF(TODAY()&gt;H36,TODAY()-H36,0)))</f>
        <v/>
      </c>
      <c r="M36" s="10" t="inlineStr">
        <is>
          <t>3.5 Integrações</t>
        </is>
      </c>
      <c r="N36" s="15" t="n"/>
    </row>
    <row r="37">
      <c r="A37" s="16" t="n">
        <v>28</v>
      </c>
      <c r="B37" s="16" t="inlineStr">
        <is>
          <t>3</t>
        </is>
      </c>
      <c r="C37" s="17" t="inlineStr">
        <is>
          <t>Chave de Inteligência Artificial</t>
        </is>
      </c>
      <c r="D37" s="17" t="inlineStr">
        <is>
          <t>Chave do provedor escolhido</t>
        </is>
      </c>
      <c r="E37" s="16" t="inlineStr">
        <is>
          <t>Cliente</t>
        </is>
      </c>
      <c r="F37" s="16" t="inlineStr">
        <is>
          <t>Não</t>
        </is>
      </c>
      <c r="G37" s="16" t="n">
        <v>12</v>
      </c>
      <c r="H37" s="19">
        <f>IF($C$4="","",WORKDAY($C$4,G37-1))</f>
        <v/>
      </c>
      <c r="I37" s="13" t="inlineStr">
        <is>
          <t>Pendente</t>
        </is>
      </c>
      <c r="J37" s="14" t="n"/>
      <c r="K37" s="14" t="n"/>
      <c r="L37" s="16">
        <f>IF(OR($C$4="",I37="Não se aplica"),"",IF(K37&lt;&gt;"",MAX(0,K37-H37),IF(TODAY()&gt;H37,TODAY()-H37,0)))</f>
        <v/>
      </c>
      <c r="M37" s="17" t="inlineStr">
        <is>
          <t>3.5 Integrações</t>
        </is>
      </c>
      <c r="N37" s="15" t="n"/>
    </row>
    <row r="38">
      <c r="A38" s="9" t="n">
        <v>29</v>
      </c>
      <c r="B38" s="9" t="inlineStr">
        <is>
          <t>4</t>
        </is>
      </c>
      <c r="C38" s="10" t="inlineStr">
        <is>
          <t>Indicação dos usuários-chave</t>
        </is>
      </c>
      <c r="D38" s="10" t="inlineStr">
        <is>
          <t>Participantes do piloto assistido</t>
        </is>
      </c>
      <c r="E38" s="9" t="inlineStr">
        <is>
          <t>Cliente</t>
        </is>
      </c>
      <c r="F38" s="11" t="inlineStr">
        <is>
          <t>Sim</t>
        </is>
      </c>
      <c r="G38" s="9" t="n">
        <v>14</v>
      </c>
      <c r="H38" s="12">
        <f>IF($C$4="","",WORKDAY($C$4,G38-1))</f>
        <v/>
      </c>
      <c r="I38" s="13" t="inlineStr">
        <is>
          <t>Pendente</t>
        </is>
      </c>
      <c r="J38" s="14" t="n"/>
      <c r="K38" s="14" t="n"/>
      <c r="L38" s="9">
        <f>IF(OR($C$4="",I38="Não se aplica"),"",IF(K38&lt;&gt;"",MAX(0,K38-H38),IF(TODAY()&gt;H38,TODAY()-H38,0)))</f>
        <v/>
      </c>
      <c r="M38" s="10" t="inlineStr">
        <is>
          <t>4.2 Piloto</t>
        </is>
      </c>
      <c r="N38" s="15" t="n"/>
    </row>
    <row r="39">
      <c r="A39" s="16" t="n">
        <v>30</v>
      </c>
      <c r="B39" s="16" t="inlineStr">
        <is>
          <t>4</t>
        </is>
      </c>
      <c r="C39" s="17" t="inlineStr">
        <is>
          <t>Agenda de treinamento</t>
        </is>
      </c>
      <c r="D39" s="17" t="inlineStr">
        <is>
          <t>Datas confirmadas com as equipes</t>
        </is>
      </c>
      <c r="E39" s="16" t="inlineStr">
        <is>
          <t>Cliente</t>
        </is>
      </c>
      <c r="F39" s="16" t="inlineStr">
        <is>
          <t>Não</t>
        </is>
      </c>
      <c r="G39" s="16" t="n">
        <v>14</v>
      </c>
      <c r="H39" s="19">
        <f>IF($C$4="","",WORKDAY($C$4,G39-1))</f>
        <v/>
      </c>
      <c r="I39" s="13" t="inlineStr">
        <is>
          <t>Pendente</t>
        </is>
      </c>
      <c r="J39" s="14" t="n"/>
      <c r="K39" s="14" t="n"/>
      <c r="L39" s="16">
        <f>IF(OR($C$4="",I39="Não se aplica"),"",IF(K39&lt;&gt;"",MAX(0,K39-H39),IF(TODAY()&gt;H39,TODAY()-H39,0)))</f>
        <v/>
      </c>
      <c r="M39" s="17" t="inlineStr">
        <is>
          <t>4.4 Treinamento</t>
        </is>
      </c>
      <c r="N39" s="15" t="n"/>
    </row>
    <row r="42">
      <c r="A42" s="2" t="inlineStr">
        <is>
          <t>COMO USAR</t>
        </is>
      </c>
    </row>
    <row r="43">
      <c r="A43" s="5" t="inlineStr">
        <is>
          <t>• Preencha a data do kickoff em C4 — todas as datas-limite são calculadas a partir dela, em dias úteis.</t>
        </is>
      </c>
    </row>
    <row r="44">
      <c r="A44" s="5" t="inlineStr">
        <is>
          <t>• As células em amarelo são as de preenchimento da equipe: Status, Solicitado em, Recebido em e Justificativa.</t>
        </is>
      </c>
    </row>
    <row r="45">
      <c r="A45" s="5" t="inlineStr">
        <is>
          <t>• Itens com "Sim" na coluna Bloq. interrompem o cronograma enquanto não forem entregues.</t>
        </is>
      </c>
    </row>
    <row r="46">
      <c r="A46" s="5" t="inlineStr">
        <is>
          <t>• A coluna Dias de atraso é automática: conta a partir da data-limite até o recebimento (ou até hoje, se ainda pendente).</t>
        </is>
      </c>
    </row>
    <row r="47">
      <c r="A47" s="5" t="inlineStr">
        <is>
          <t>• Atualize a planilha semanalmente e envie ao cliente junto do relatório de progresso — é ela que sustenta a justificativa de prazo.</t>
        </is>
      </c>
    </row>
  </sheetData>
  <mergeCells count="6">
    <mergeCell ref="A43:N43"/>
    <mergeCell ref="A47:N47"/>
    <mergeCell ref="A45:N45"/>
    <mergeCell ref="A46:N46"/>
    <mergeCell ref="A44:N44"/>
    <mergeCell ref="A1:N1"/>
  </mergeCells>
  <dataValidations count="1">
    <dataValidation sqref="I10:I39" showDropDown="0" showInputMessage="0" showErrorMessage="0" allowBlank="1" type="list">
      <formula1>"Pendente,Recebido,Não se aplica"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44" customWidth="1" min="3" max="3"/>
    <col width="14" customWidth="1" min="4" max="4"/>
    <col width="13" customWidth="1" min="5" max="5"/>
    <col width="12" customWidth="1" min="6" max="6"/>
    <col width="14" customWidth="1" min="7" max="7"/>
    <col width="14" customWidth="1" min="8" max="8"/>
    <col width="15" customWidth="1" min="9" max="9"/>
  </cols>
  <sheetData>
    <row r="1">
      <c r="A1" s="1" t="inlineStr">
        <is>
          <t>CRONOGRAMA DE IMPLANTAÇÃO — 25 DIAS ÚTEIS</t>
        </is>
      </c>
    </row>
    <row r="3">
      <c r="A3" s="2" t="inlineStr">
        <is>
          <t>Data do kickoff</t>
        </is>
      </c>
      <c r="C3" s="20">
        <f>IF('Mapa de Dependências'!C4="","",'Mapa de Dependências'!C4)</f>
        <v/>
      </c>
    </row>
    <row r="5">
      <c r="A5" s="8" t="inlineStr">
        <is>
          <t>Fase</t>
        </is>
      </c>
      <c r="B5" s="8" t="inlineStr">
        <is>
          <t>#</t>
        </is>
      </c>
      <c r="C5" s="8" t="inlineStr">
        <is>
          <t>Etapa</t>
        </is>
      </c>
      <c r="D5" s="8" t="inlineStr">
        <is>
          <t>Responsável</t>
        </is>
      </c>
      <c r="E5" s="8" t="inlineStr">
        <is>
          <t>Início (D+)</t>
        </is>
      </c>
      <c r="F5" s="8" t="inlineStr">
        <is>
          <t>Fim (D+)</t>
        </is>
      </c>
      <c r="G5" s="8" t="inlineStr">
        <is>
          <t>Data início</t>
        </is>
      </c>
      <c r="H5" s="8" t="inlineStr">
        <is>
          <t>Data fim</t>
        </is>
      </c>
      <c r="I5" s="8" t="inlineStr">
        <is>
          <t>Status</t>
        </is>
      </c>
    </row>
    <row r="6">
      <c r="A6" s="16" t="inlineStr">
        <is>
          <t>0</t>
        </is>
      </c>
      <c r="B6" s="16" t="inlineStr">
        <is>
          <t>0.1</t>
        </is>
      </c>
      <c r="C6" s="17" t="inlineStr">
        <is>
          <t>Reunião de kickoff</t>
        </is>
      </c>
      <c r="D6" s="16" t="inlineStr">
        <is>
          <t>Conjunto</t>
        </is>
      </c>
      <c r="E6" s="16" t="n">
        <v>1</v>
      </c>
      <c r="F6" s="16" t="n">
        <v>1</v>
      </c>
      <c r="G6" s="19">
        <f>IF($C$3="","",WORKDAY($C$3,E6-1))</f>
        <v/>
      </c>
      <c r="H6" s="19">
        <f>IF($C$3="","",WORKDAY($C$3,F6-1))</f>
        <v/>
      </c>
      <c r="I6" s="13" t="inlineStr">
        <is>
          <t>Não iniciada</t>
        </is>
      </c>
    </row>
    <row r="7">
      <c r="A7" s="9" t="inlineStr">
        <is>
          <t>0</t>
        </is>
      </c>
      <c r="B7" s="9" t="inlineStr">
        <is>
          <t>0.2</t>
        </is>
      </c>
      <c r="C7" s="10" t="inlineStr">
        <is>
          <t>Levantamento de escopo</t>
        </is>
      </c>
      <c r="D7" s="9" t="inlineStr">
        <is>
          <t>Conjunto</t>
        </is>
      </c>
      <c r="E7" s="9" t="n">
        <v>2</v>
      </c>
      <c r="F7" s="9" t="n">
        <v>2</v>
      </c>
      <c r="G7" s="12">
        <f>IF($C$3="","",WORKDAY($C$3,E7-1))</f>
        <v/>
      </c>
      <c r="H7" s="12">
        <f>IF($C$3="","",WORKDAY($C$3,F7-1))</f>
        <v/>
      </c>
      <c r="I7" s="13" t="inlineStr">
        <is>
          <t>Não iniciada</t>
        </is>
      </c>
    </row>
    <row r="8">
      <c r="A8" s="16" t="inlineStr">
        <is>
          <t>0</t>
        </is>
      </c>
      <c r="B8" s="16" t="inlineStr">
        <is>
          <t>0.3</t>
        </is>
      </c>
      <c r="C8" s="17" t="inlineStr">
        <is>
          <t>Coleta dos dados legais (LGPD)</t>
        </is>
      </c>
      <c r="D8" s="16" t="inlineStr">
        <is>
          <t>Cliente</t>
        </is>
      </c>
      <c r="E8" s="16" t="n">
        <v>2</v>
      </c>
      <c r="F8" s="16" t="n">
        <v>3</v>
      </c>
      <c r="G8" s="19">
        <f>IF($C$3="","",WORKDAY($C$3,E8-1))</f>
        <v/>
      </c>
      <c r="H8" s="19">
        <f>IF($C$3="","",WORKDAY($C$3,F8-1))</f>
        <v/>
      </c>
      <c r="I8" s="13" t="inlineStr">
        <is>
          <t>Não iniciada</t>
        </is>
      </c>
    </row>
    <row r="9">
      <c r="A9" s="9" t="inlineStr">
        <is>
          <t>0</t>
        </is>
      </c>
      <c r="B9" s="9" t="inlineStr">
        <is>
          <t>0.4</t>
        </is>
      </c>
      <c r="C9" s="10" t="inlineStr">
        <is>
          <t>Coleta da identidade visual</t>
        </is>
      </c>
      <c r="D9" s="9" t="inlineStr">
        <is>
          <t>Cliente</t>
        </is>
      </c>
      <c r="E9" s="9" t="n">
        <v>3</v>
      </c>
      <c r="F9" s="9" t="n">
        <v>3</v>
      </c>
      <c r="G9" s="12">
        <f>IF($C$3="","",WORKDAY($C$3,E9-1))</f>
        <v/>
      </c>
      <c r="H9" s="12">
        <f>IF($C$3="","",WORKDAY($C$3,F9-1))</f>
        <v/>
      </c>
      <c r="I9" s="13" t="inlineStr">
        <is>
          <t>Não iniciada</t>
        </is>
      </c>
    </row>
    <row r="10">
      <c r="A10" s="16" t="inlineStr">
        <is>
          <t>0</t>
        </is>
      </c>
      <c r="B10" s="16" t="inlineStr">
        <is>
          <t>0.5</t>
        </is>
      </c>
      <c r="C10" s="17" t="inlineStr">
        <is>
          <t>Verificação de pré-requisitos</t>
        </is>
      </c>
      <c r="D10" s="16" t="inlineStr">
        <is>
          <t>Cliente</t>
        </is>
      </c>
      <c r="E10" s="16" t="n">
        <v>2</v>
      </c>
      <c r="F10" s="16" t="n">
        <v>3</v>
      </c>
      <c r="G10" s="19">
        <f>IF($C$3="","",WORKDAY($C$3,E10-1))</f>
        <v/>
      </c>
      <c r="H10" s="19">
        <f>IF($C$3="","",WORKDAY($C$3,F10-1))</f>
        <v/>
      </c>
      <c r="I10" s="13" t="inlineStr">
        <is>
          <t>Não iniciada</t>
        </is>
      </c>
    </row>
    <row r="11">
      <c r="A11" s="9" t="inlineStr">
        <is>
          <t>1</t>
        </is>
      </c>
      <c r="B11" s="9" t="inlineStr">
        <is>
          <t>1.1</t>
        </is>
      </c>
      <c r="C11" s="10" t="inlineStr">
        <is>
          <t>Preparação da VM e instalação do núcleo</t>
        </is>
      </c>
      <c r="D11" s="9" t="inlineStr">
        <is>
          <t>AlinhaJá</t>
        </is>
      </c>
      <c r="E11" s="9" t="n">
        <v>4</v>
      </c>
      <c r="F11" s="9" t="n">
        <v>5</v>
      </c>
      <c r="G11" s="12">
        <f>IF($C$3="","",WORKDAY($C$3,E11-1))</f>
        <v/>
      </c>
      <c r="H11" s="12">
        <f>IF($C$3="","",WORKDAY($C$3,F11-1))</f>
        <v/>
      </c>
      <c r="I11" s="13" t="inlineStr">
        <is>
          <t>Não iniciada</t>
        </is>
      </c>
    </row>
    <row r="12">
      <c r="A12" s="16" t="inlineStr">
        <is>
          <t>1</t>
        </is>
      </c>
      <c r="B12" s="16" t="inlineStr">
        <is>
          <t>1.2</t>
        </is>
      </c>
      <c r="C12" s="17" t="inlineStr">
        <is>
          <t>Habilitação dos módulos contratados</t>
        </is>
      </c>
      <c r="D12" s="16" t="inlineStr">
        <is>
          <t>AlinhaJá</t>
        </is>
      </c>
      <c r="E12" s="16" t="n">
        <v>5</v>
      </c>
      <c r="F12" s="16" t="n">
        <v>5</v>
      </c>
      <c r="G12" s="19">
        <f>IF($C$3="","",WORKDAY($C$3,E12-1))</f>
        <v/>
      </c>
      <c r="H12" s="19">
        <f>IF($C$3="","",WORKDAY($C$3,F12-1))</f>
        <v/>
      </c>
      <c r="I12" s="13" t="inlineStr">
        <is>
          <t>Não iniciada</t>
        </is>
      </c>
    </row>
    <row r="13">
      <c r="A13" s="9" t="inlineStr">
        <is>
          <t>1</t>
        </is>
      </c>
      <c r="B13" s="9" t="inlineStr">
        <is>
          <t>1.3</t>
        </is>
      </c>
      <c r="C13" s="10" t="inlineStr">
        <is>
          <t>Aplicação da identidade visual</t>
        </is>
      </c>
      <c r="D13" s="9" t="inlineStr">
        <is>
          <t>AlinhaJá</t>
        </is>
      </c>
      <c r="E13" s="9" t="n">
        <v>6</v>
      </c>
      <c r="F13" s="9" t="n">
        <v>6</v>
      </c>
      <c r="G13" s="12">
        <f>IF($C$3="","",WORKDAY($C$3,E13-1))</f>
        <v/>
      </c>
      <c r="H13" s="12">
        <f>IF($C$3="","",WORKDAY($C$3,F13-1))</f>
        <v/>
      </c>
      <c r="I13" s="13" t="inlineStr">
        <is>
          <t>Não iniciada</t>
        </is>
      </c>
    </row>
    <row r="14">
      <c r="A14" s="16" t="inlineStr">
        <is>
          <t>1</t>
        </is>
      </c>
      <c r="B14" s="16" t="inlineStr">
        <is>
          <t>1.4</t>
        </is>
      </c>
      <c r="C14" s="17" t="inlineStr">
        <is>
          <t>Publicação dos documentos legais</t>
        </is>
      </c>
      <c r="D14" s="16" t="inlineStr">
        <is>
          <t>AlinhaJá</t>
        </is>
      </c>
      <c r="E14" s="16" t="n">
        <v>6</v>
      </c>
      <c r="F14" s="16" t="n">
        <v>6</v>
      </c>
      <c r="G14" s="19">
        <f>IF($C$3="","",WORKDAY($C$3,E14-1))</f>
        <v/>
      </c>
      <c r="H14" s="19">
        <f>IF($C$3="","",WORKDAY($C$3,F14-1))</f>
        <v/>
      </c>
      <c r="I14" s="13" t="inlineStr">
        <is>
          <t>Não iniciada</t>
        </is>
      </c>
    </row>
    <row r="15">
      <c r="A15" s="9" t="inlineStr">
        <is>
          <t>1</t>
        </is>
      </c>
      <c r="B15" s="9" t="inlineStr">
        <is>
          <t>1.5</t>
        </is>
      </c>
      <c r="C15" s="10" t="inlineStr">
        <is>
          <t>Cadastro da estrutura organizacional</t>
        </is>
      </c>
      <c r="D15" s="9" t="inlineStr">
        <is>
          <t>Conjunto</t>
        </is>
      </c>
      <c r="E15" s="9" t="n">
        <v>6</v>
      </c>
      <c r="F15" s="9" t="n">
        <v>7</v>
      </c>
      <c r="G15" s="12">
        <f>IF($C$3="","",WORKDAY($C$3,E15-1))</f>
        <v/>
      </c>
      <c r="H15" s="12">
        <f>IF($C$3="","",WORKDAY($C$3,F15-1))</f>
        <v/>
      </c>
      <c r="I15" s="13" t="inlineStr">
        <is>
          <t>Não iniciada</t>
        </is>
      </c>
    </row>
    <row r="16">
      <c r="A16" s="16" t="inlineStr">
        <is>
          <t>1</t>
        </is>
      </c>
      <c r="B16" s="16" t="inlineStr">
        <is>
          <t>1.6</t>
        </is>
      </c>
      <c r="C16" s="17" t="inlineStr">
        <is>
          <t>Verificação de parâmetros gerais</t>
        </is>
      </c>
      <c r="D16" s="16" t="inlineStr">
        <is>
          <t>AlinhaJá</t>
        </is>
      </c>
      <c r="E16" s="16" t="n">
        <v>8</v>
      </c>
      <c r="F16" s="16" t="n">
        <v>8</v>
      </c>
      <c r="G16" s="19">
        <f>IF($C$3="","",WORKDAY($C$3,E16-1))</f>
        <v/>
      </c>
      <c r="H16" s="19">
        <f>IF($C$3="","",WORKDAY($C$3,F16-1))</f>
        <v/>
      </c>
      <c r="I16" s="13" t="inlineStr">
        <is>
          <t>Não iniciada</t>
        </is>
      </c>
    </row>
    <row r="17">
      <c r="A17" s="9" t="inlineStr">
        <is>
          <t>2</t>
        </is>
      </c>
      <c r="B17" s="9" t="inlineStr">
        <is>
          <t>2.1</t>
        </is>
      </c>
      <c r="C17" s="10" t="inlineStr">
        <is>
          <t>Definição dos perfis de acesso</t>
        </is>
      </c>
      <c r="D17" s="9" t="inlineStr">
        <is>
          <t>Conjunto</t>
        </is>
      </c>
      <c r="E17" s="9" t="n">
        <v>9</v>
      </c>
      <c r="F17" s="9" t="n">
        <v>9</v>
      </c>
      <c r="G17" s="12">
        <f>IF($C$3="","",WORKDAY($C$3,E17-1))</f>
        <v/>
      </c>
      <c r="H17" s="12">
        <f>IF($C$3="","",WORKDAY($C$3,F17-1))</f>
        <v/>
      </c>
      <c r="I17" s="13" t="inlineStr">
        <is>
          <t>Não iniciada</t>
        </is>
      </c>
    </row>
    <row r="18">
      <c r="A18" s="16" t="inlineStr">
        <is>
          <t>2</t>
        </is>
      </c>
      <c r="B18" s="16" t="inlineStr">
        <is>
          <t>2.2</t>
        </is>
      </c>
      <c r="C18" s="17" t="inlineStr">
        <is>
          <t>Ajuste dos perfis no sistema</t>
        </is>
      </c>
      <c r="D18" s="16" t="inlineStr">
        <is>
          <t>AlinhaJá</t>
        </is>
      </c>
      <c r="E18" s="16" t="n">
        <v>10</v>
      </c>
      <c r="F18" s="16" t="n">
        <v>10</v>
      </c>
      <c r="G18" s="19">
        <f>IF($C$3="","",WORKDAY($C$3,E18-1))</f>
        <v/>
      </c>
      <c r="H18" s="19">
        <f>IF($C$3="","",WORKDAY($C$3,F18-1))</f>
        <v/>
      </c>
      <c r="I18" s="13" t="inlineStr">
        <is>
          <t>Não iniciada</t>
        </is>
      </c>
    </row>
    <row r="19">
      <c r="A19" s="9" t="inlineStr">
        <is>
          <t>2</t>
        </is>
      </c>
      <c r="B19" s="9" t="inlineStr">
        <is>
          <t>2.3</t>
        </is>
      </c>
      <c r="C19" s="10" t="inlineStr">
        <is>
          <t>Criação dos logins (187 usuários)</t>
        </is>
      </c>
      <c r="D19" s="9" t="inlineStr">
        <is>
          <t>AlinhaJá</t>
        </is>
      </c>
      <c r="E19" s="9" t="n">
        <v>10</v>
      </c>
      <c r="F19" s="9" t="n">
        <v>11</v>
      </c>
      <c r="G19" s="12">
        <f>IF($C$3="","",WORKDAY($C$3,E19-1))</f>
        <v/>
      </c>
      <c r="H19" s="12">
        <f>IF($C$3="","",WORKDAY($C$3,F19-1))</f>
        <v/>
      </c>
      <c r="I19" s="13" t="inlineStr">
        <is>
          <t>Não iniciada</t>
        </is>
      </c>
    </row>
    <row r="20">
      <c r="A20" s="16" t="inlineStr">
        <is>
          <t>2</t>
        </is>
      </c>
      <c r="B20" s="16" t="inlineStr">
        <is>
          <t>2.4</t>
        </is>
      </c>
      <c r="C20" s="17" t="inlineStr">
        <is>
          <t>Importação de dados existentes</t>
        </is>
      </c>
      <c r="D20" s="16" t="inlineStr">
        <is>
          <t>AlinhaJá</t>
        </is>
      </c>
      <c r="E20" s="16" t="n">
        <v>11</v>
      </c>
      <c r="F20" s="16" t="n">
        <v>12</v>
      </c>
      <c r="G20" s="19">
        <f>IF($C$3="","",WORKDAY($C$3,E20-1))</f>
        <v/>
      </c>
      <c r="H20" s="19">
        <f>IF($C$3="","",WORKDAY($C$3,F20-1))</f>
        <v/>
      </c>
      <c r="I20" s="13" t="inlineStr">
        <is>
          <t>Não iniciada</t>
        </is>
      </c>
    </row>
    <row r="21">
      <c r="A21" s="9" t="inlineStr">
        <is>
          <t>2</t>
        </is>
      </c>
      <c r="B21" s="9" t="inlineStr">
        <is>
          <t>2.5</t>
        </is>
      </c>
      <c r="C21" s="10" t="inlineStr">
        <is>
          <t>Conferência da carga</t>
        </is>
      </c>
      <c r="D21" s="9" t="inlineStr">
        <is>
          <t>Conjunto</t>
        </is>
      </c>
      <c r="E21" s="9" t="n">
        <v>12</v>
      </c>
      <c r="F21" s="9" t="n">
        <v>12</v>
      </c>
      <c r="G21" s="12">
        <f>IF($C$3="","",WORKDAY($C$3,E21-1))</f>
        <v/>
      </c>
      <c r="H21" s="12">
        <f>IF($C$3="","",WORKDAY($C$3,F21-1))</f>
        <v/>
      </c>
      <c r="I21" s="13" t="inlineStr">
        <is>
          <t>Não iniciada</t>
        </is>
      </c>
    </row>
    <row r="22">
      <c r="A22" s="16" t="inlineStr">
        <is>
          <t>3</t>
        </is>
      </c>
      <c r="B22" s="16" t="inlineStr">
        <is>
          <t>3.1</t>
        </is>
      </c>
      <c r="C22" s="17" t="inlineStr">
        <is>
          <t>Canais e workspaces de comunicação</t>
        </is>
      </c>
      <c r="D22" s="16" t="inlineStr">
        <is>
          <t>Conjunto</t>
        </is>
      </c>
      <c r="E22" s="16" t="n">
        <v>10</v>
      </c>
      <c r="F22" s="16" t="n">
        <v>10</v>
      </c>
      <c r="G22" s="19">
        <f>IF($C$3="","",WORKDAY($C$3,E22-1))</f>
        <v/>
      </c>
      <c r="H22" s="19">
        <f>IF($C$3="","",WORKDAY($C$3,F22-1))</f>
        <v/>
      </c>
      <c r="I22" s="13" t="inlineStr">
        <is>
          <t>Não iniciada</t>
        </is>
      </c>
    </row>
    <row r="23">
      <c r="A23" s="9" t="inlineStr">
        <is>
          <t>3</t>
        </is>
      </c>
      <c r="B23" s="9" t="inlineStr">
        <is>
          <t>3.2</t>
        </is>
      </c>
      <c r="C23" s="10" t="inlineStr">
        <is>
          <t>Fluxos de trabalho (Kanban)</t>
        </is>
      </c>
      <c r="D23" s="9" t="inlineStr">
        <is>
          <t>Conjunto</t>
        </is>
      </c>
      <c r="E23" s="9" t="n">
        <v>11</v>
      </c>
      <c r="F23" s="9" t="n">
        <v>12</v>
      </c>
      <c r="G23" s="12">
        <f>IF($C$3="","",WORKDAY($C$3,E23-1))</f>
        <v/>
      </c>
      <c r="H23" s="12">
        <f>IF($C$3="","",WORKDAY($C$3,F23-1))</f>
        <v/>
      </c>
      <c r="I23" s="13" t="inlineStr">
        <is>
          <t>Não iniciada</t>
        </is>
      </c>
    </row>
    <row r="24">
      <c r="A24" s="16" t="inlineStr">
        <is>
          <t>3</t>
        </is>
      </c>
      <c r="B24" s="16" t="inlineStr">
        <is>
          <t>3.3</t>
        </is>
      </c>
      <c r="C24" s="17" t="inlineStr">
        <is>
          <t>Central de chamados (Helpdesk)</t>
        </is>
      </c>
      <c r="D24" s="16" t="inlineStr">
        <is>
          <t>Conjunto</t>
        </is>
      </c>
      <c r="E24" s="16" t="n">
        <v>13</v>
      </c>
      <c r="F24" s="16" t="n">
        <v>13</v>
      </c>
      <c r="G24" s="19">
        <f>IF($C$3="","",WORKDAY($C$3,E24-1))</f>
        <v/>
      </c>
      <c r="H24" s="19">
        <f>IF($C$3="","",WORKDAY($C$3,F24-1))</f>
        <v/>
      </c>
      <c r="I24" s="13" t="inlineStr">
        <is>
          <t>Não iniciada</t>
        </is>
      </c>
    </row>
    <row r="25">
      <c r="A25" s="9" t="inlineStr">
        <is>
          <t>3</t>
        </is>
      </c>
      <c r="B25" s="9" t="inlineStr">
        <is>
          <t>3.4</t>
        </is>
      </c>
      <c r="C25" s="10" t="inlineStr">
        <is>
          <t>Módulo de RH (se contratado)</t>
        </is>
      </c>
      <c r="D25" s="9" t="inlineStr">
        <is>
          <t>Conjunto</t>
        </is>
      </c>
      <c r="E25" s="9" t="n">
        <v>12</v>
      </c>
      <c r="F25" s="9" t="n">
        <v>14</v>
      </c>
      <c r="G25" s="12">
        <f>IF($C$3="","",WORKDAY($C$3,E25-1))</f>
        <v/>
      </c>
      <c r="H25" s="12">
        <f>IF($C$3="","",WORKDAY($C$3,F25-1))</f>
        <v/>
      </c>
      <c r="I25" s="13" t="inlineStr">
        <is>
          <t>Não iniciada</t>
        </is>
      </c>
    </row>
    <row r="26">
      <c r="A26" s="16" t="inlineStr">
        <is>
          <t>3</t>
        </is>
      </c>
      <c r="B26" s="16" t="inlineStr">
        <is>
          <t>3.5</t>
        </is>
      </c>
      <c r="C26" s="17" t="inlineStr">
        <is>
          <t>Integrações (e-mail e IA)</t>
        </is>
      </c>
      <c r="D26" s="16" t="inlineStr">
        <is>
          <t>Conjunto</t>
        </is>
      </c>
      <c r="E26" s="16" t="n">
        <v>14</v>
      </c>
      <c r="F26" s="16" t="n">
        <v>14</v>
      </c>
      <c r="G26" s="19">
        <f>IF($C$3="","",WORKDAY($C$3,E26-1))</f>
        <v/>
      </c>
      <c r="H26" s="19">
        <f>IF($C$3="","",WORKDAY($C$3,F26-1))</f>
        <v/>
      </c>
      <c r="I26" s="13" t="inlineStr">
        <is>
          <t>Não iniciada</t>
        </is>
      </c>
    </row>
    <row r="27">
      <c r="A27" s="9" t="inlineStr">
        <is>
          <t>3</t>
        </is>
      </c>
      <c r="B27" s="9" t="inlineStr">
        <is>
          <t>3.6</t>
        </is>
      </c>
      <c r="C27" s="10" t="inlineStr">
        <is>
          <t>Rastreamento por GPS (se aplicável)</t>
        </is>
      </c>
      <c r="D27" s="9" t="inlineStr">
        <is>
          <t>Conjunto</t>
        </is>
      </c>
      <c r="E27" s="9" t="n">
        <v>14</v>
      </c>
      <c r="F27" s="9" t="n">
        <v>14</v>
      </c>
      <c r="G27" s="12">
        <f>IF($C$3="","",WORKDAY($C$3,E27-1))</f>
        <v/>
      </c>
      <c r="H27" s="12">
        <f>IF($C$3="","",WORKDAY($C$3,F27-1))</f>
        <v/>
      </c>
      <c r="I27" s="13" t="inlineStr">
        <is>
          <t>Não iniciada</t>
        </is>
      </c>
    </row>
    <row r="28">
      <c r="A28" s="16" t="inlineStr">
        <is>
          <t>4</t>
        </is>
      </c>
      <c r="B28" s="16" t="inlineStr">
        <is>
          <t>4.1</t>
        </is>
      </c>
      <c r="C28" s="17" t="inlineStr">
        <is>
          <t>Testes internos</t>
        </is>
      </c>
      <c r="D28" s="16" t="inlineStr">
        <is>
          <t>AlinhaJá</t>
        </is>
      </c>
      <c r="E28" s="16" t="n">
        <v>15</v>
      </c>
      <c r="F28" s="16" t="n">
        <v>16</v>
      </c>
      <c r="G28" s="19">
        <f>IF($C$3="","",WORKDAY($C$3,E28-1))</f>
        <v/>
      </c>
      <c r="H28" s="19">
        <f>IF($C$3="","",WORKDAY($C$3,F28-1))</f>
        <v/>
      </c>
      <c r="I28" s="13" t="inlineStr">
        <is>
          <t>Não iniciada</t>
        </is>
      </c>
    </row>
    <row r="29">
      <c r="A29" s="9" t="inlineStr">
        <is>
          <t>4</t>
        </is>
      </c>
      <c r="B29" s="9" t="inlineStr">
        <is>
          <t>4.2</t>
        </is>
      </c>
      <c r="C29" s="10" t="inlineStr">
        <is>
          <t>Piloto assistido</t>
        </is>
      </c>
      <c r="D29" s="9" t="inlineStr">
        <is>
          <t>Conjunto</t>
        </is>
      </c>
      <c r="E29" s="9" t="n">
        <v>16</v>
      </c>
      <c r="F29" s="9" t="n">
        <v>18</v>
      </c>
      <c r="G29" s="12">
        <f>IF($C$3="","",WORKDAY($C$3,E29-1))</f>
        <v/>
      </c>
      <c r="H29" s="12">
        <f>IF($C$3="","",WORKDAY($C$3,F29-1))</f>
        <v/>
      </c>
      <c r="I29" s="13" t="inlineStr">
        <is>
          <t>Não iniciada</t>
        </is>
      </c>
    </row>
    <row r="30">
      <c r="A30" s="16" t="inlineStr">
        <is>
          <t>4</t>
        </is>
      </c>
      <c r="B30" s="16" t="inlineStr">
        <is>
          <t>4.3</t>
        </is>
      </c>
      <c r="C30" s="17" t="inlineStr">
        <is>
          <t>Ajustes decorrentes do piloto</t>
        </is>
      </c>
      <c r="D30" s="16" t="inlineStr">
        <is>
          <t>AlinhaJá</t>
        </is>
      </c>
      <c r="E30" s="16" t="n">
        <v>18</v>
      </c>
      <c r="F30" s="16" t="n">
        <v>19</v>
      </c>
      <c r="G30" s="19">
        <f>IF($C$3="","",WORKDAY($C$3,E30-1))</f>
        <v/>
      </c>
      <c r="H30" s="19">
        <f>IF($C$3="","",WORKDAY($C$3,F30-1))</f>
        <v/>
      </c>
      <c r="I30" s="13" t="inlineStr">
        <is>
          <t>Não iniciada</t>
        </is>
      </c>
    </row>
    <row r="31">
      <c r="A31" s="9" t="inlineStr">
        <is>
          <t>4</t>
        </is>
      </c>
      <c r="B31" s="9" t="inlineStr">
        <is>
          <t>4.4</t>
        </is>
      </c>
      <c r="C31" s="10" t="inlineStr">
        <is>
          <t>Treinamento por perfil</t>
        </is>
      </c>
      <c r="D31" s="9" t="inlineStr">
        <is>
          <t>AlinhaJá</t>
        </is>
      </c>
      <c r="E31" s="9" t="n">
        <v>18</v>
      </c>
      <c r="F31" s="9" t="n">
        <v>19</v>
      </c>
      <c r="G31" s="12">
        <f>IF($C$3="","",WORKDAY($C$3,E31-1))</f>
        <v/>
      </c>
      <c r="H31" s="12">
        <f>IF($C$3="","",WORKDAY($C$3,F31-1))</f>
        <v/>
      </c>
      <c r="I31" s="13" t="inlineStr">
        <is>
          <t>Não iniciada</t>
        </is>
      </c>
    </row>
    <row r="32">
      <c r="A32" s="16" t="inlineStr">
        <is>
          <t>4</t>
        </is>
      </c>
      <c r="B32" s="16" t="inlineStr">
        <is>
          <t>4.5</t>
        </is>
      </c>
      <c r="C32" s="17" t="inlineStr">
        <is>
          <t>Validação formal do cliente</t>
        </is>
      </c>
      <c r="D32" s="16" t="inlineStr">
        <is>
          <t>Cliente</t>
        </is>
      </c>
      <c r="E32" s="16" t="n">
        <v>19</v>
      </c>
      <c r="F32" s="16" t="n">
        <v>19</v>
      </c>
      <c r="G32" s="19">
        <f>IF($C$3="","",WORKDAY($C$3,E32-1))</f>
        <v/>
      </c>
      <c r="H32" s="19">
        <f>IF($C$3="","",WORKDAY($C$3,F32-1))</f>
        <v/>
      </c>
      <c r="I32" s="13" t="inlineStr">
        <is>
          <t>Não iniciada</t>
        </is>
      </c>
    </row>
    <row r="33">
      <c r="A33" s="9" t="inlineStr">
        <is>
          <t>5</t>
        </is>
      </c>
      <c r="B33" s="9" t="inlineStr">
        <is>
          <t>5.1</t>
        </is>
      </c>
      <c r="C33" s="10" t="inlineStr">
        <is>
          <t>Comunicado interno de lançamento</t>
        </is>
      </c>
      <c r="D33" s="9" t="inlineStr">
        <is>
          <t>Cliente</t>
        </is>
      </c>
      <c r="E33" s="9" t="n">
        <v>20</v>
      </c>
      <c r="F33" s="9" t="n">
        <v>20</v>
      </c>
      <c r="G33" s="12">
        <f>IF($C$3="","",WORKDAY($C$3,E33-1))</f>
        <v/>
      </c>
      <c r="H33" s="12">
        <f>IF($C$3="","",WORKDAY($C$3,F33-1))</f>
        <v/>
      </c>
      <c r="I33" s="13" t="inlineStr">
        <is>
          <t>Não iniciada</t>
        </is>
      </c>
    </row>
    <row r="34">
      <c r="A34" s="16" t="inlineStr">
        <is>
          <t>5</t>
        </is>
      </c>
      <c r="B34" s="16" t="inlineStr">
        <is>
          <t>5.2</t>
        </is>
      </c>
      <c r="C34" s="17" t="inlineStr">
        <is>
          <t>Distribuição do aplicativo</t>
        </is>
      </c>
      <c r="D34" s="16" t="inlineStr">
        <is>
          <t>Conjunto</t>
        </is>
      </c>
      <c r="E34" s="16" t="n">
        <v>20</v>
      </c>
      <c r="F34" s="16" t="n">
        <v>20</v>
      </c>
      <c r="G34" s="19">
        <f>IF($C$3="","",WORKDAY($C$3,E34-1))</f>
        <v/>
      </c>
      <c r="H34" s="19">
        <f>IF($C$3="","",WORKDAY($C$3,F34-1))</f>
        <v/>
      </c>
      <c r="I34" s="13" t="inlineStr">
        <is>
          <t>Não iniciada</t>
        </is>
      </c>
    </row>
    <row r="35">
      <c r="A35" s="9" t="inlineStr">
        <is>
          <t>5</t>
        </is>
      </c>
      <c r="B35" s="9" t="inlineStr">
        <is>
          <t>5.3</t>
        </is>
      </c>
      <c r="C35" s="10" t="inlineStr">
        <is>
          <t>Liberação geral (go-live)</t>
        </is>
      </c>
      <c r="D35" s="9" t="inlineStr">
        <is>
          <t>AlinhaJá</t>
        </is>
      </c>
      <c r="E35" s="9" t="n">
        <v>20</v>
      </c>
      <c r="F35" s="9" t="n">
        <v>20</v>
      </c>
      <c r="G35" s="12">
        <f>IF($C$3="","",WORKDAY($C$3,E35-1))</f>
        <v/>
      </c>
      <c r="H35" s="12">
        <f>IF($C$3="","",WORKDAY($C$3,F35-1))</f>
        <v/>
      </c>
      <c r="I35" s="13" t="inlineStr">
        <is>
          <t>Não iniciada</t>
        </is>
      </c>
    </row>
    <row r="36">
      <c r="A36" s="16" t="inlineStr">
        <is>
          <t>5</t>
        </is>
      </c>
      <c r="B36" s="16" t="inlineStr">
        <is>
          <t>5.4</t>
        </is>
      </c>
      <c r="C36" s="17" t="inlineStr">
        <is>
          <t>Suporte assistido</t>
        </is>
      </c>
      <c r="D36" s="16" t="inlineStr">
        <is>
          <t>AlinhaJá</t>
        </is>
      </c>
      <c r="E36" s="16" t="n">
        <v>21</v>
      </c>
      <c r="F36" s="16" t="n">
        <v>25</v>
      </c>
      <c r="G36" s="19">
        <f>IF($C$3="","",WORKDAY($C$3,E36-1))</f>
        <v/>
      </c>
      <c r="H36" s="19">
        <f>IF($C$3="","",WORKDAY($C$3,F36-1))</f>
        <v/>
      </c>
      <c r="I36" s="13" t="inlineStr">
        <is>
          <t>Não iniciada</t>
        </is>
      </c>
    </row>
    <row r="37">
      <c r="A37" s="9" t="inlineStr">
        <is>
          <t>5</t>
        </is>
      </c>
      <c r="B37" s="9" t="inlineStr">
        <is>
          <t>5.5</t>
        </is>
      </c>
      <c r="C37" s="10" t="inlineStr">
        <is>
          <t>Reunião de encerramento</t>
        </is>
      </c>
      <c r="D37" s="9" t="inlineStr">
        <is>
          <t>Conjunto</t>
        </is>
      </c>
      <c r="E37" s="9" t="n">
        <v>25</v>
      </c>
      <c r="F37" s="9" t="n">
        <v>25</v>
      </c>
      <c r="G37" s="12">
        <f>IF($C$3="","",WORKDAY($C$3,E37-1))</f>
        <v/>
      </c>
      <c r="H37" s="12">
        <f>IF($C$3="","",WORKDAY($C$3,F37-1))</f>
        <v/>
      </c>
      <c r="I37" s="13" t="inlineStr">
        <is>
          <t>Não iniciada</t>
        </is>
      </c>
    </row>
    <row r="39">
      <c r="A39" s="2" t="inlineStr">
        <is>
          <t>Go-live previsto:</t>
        </is>
      </c>
      <c r="C39" s="21">
        <f>IF($C$3="","",WORKDAY($C$3,19))</f>
        <v/>
      </c>
    </row>
    <row r="40">
      <c r="A40" s="5" t="inlineStr">
        <is>
          <t>A data desloca-se na mesma proporção do atraso dos itens bloqueantes do Mapa de Dependências.</t>
        </is>
      </c>
    </row>
  </sheetData>
  <mergeCells count="1">
    <mergeCell ref="A1:I1"/>
  </mergeCells>
  <dataValidations count="1">
    <dataValidation sqref="I6:I37" showDropDown="0" showInputMessage="0" showErrorMessage="0" allowBlank="1" type="list">
      <formula1>"Não iniciada,Em andamento,Concluída,Atrasada"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52" customWidth="1" min="3" max="3"/>
    <col width="18" customWidth="1" min="4" max="4"/>
    <col width="14" customWidth="1" min="5" max="5"/>
    <col width="22" customWidth="1" min="6" max="6"/>
    <col width="20" customWidth="1" min="7" max="7"/>
  </cols>
  <sheetData>
    <row r="1">
      <c r="A1" s="1" t="inlineStr">
        <is>
          <t>REGISTRO DE OCORRÊNCIAS E IMPACTOS DE PRAZO</t>
        </is>
      </c>
    </row>
    <row r="2">
      <c r="A2" s="5" t="inlineStr">
        <is>
          <t>Registre aqui todo evento que afete o cronograma. É este histórico que sustenta a justificativa formal de prazo perante o cliente.</t>
        </is>
      </c>
    </row>
    <row r="4">
      <c r="A4" s="8" t="inlineStr">
        <is>
          <t>Data</t>
        </is>
      </c>
      <c r="B4" s="8" t="inlineStr">
        <is>
          <t>Item / etapa relacionada</t>
        </is>
      </c>
      <c r="C4" s="8" t="inlineStr">
        <is>
          <t>Ocorrência</t>
        </is>
      </c>
      <c r="D4" s="8" t="inlineStr">
        <is>
          <t>Responsável pelo item</t>
        </is>
      </c>
      <c r="E4" s="8" t="inlineStr">
        <is>
          <t>Dias de impacto</t>
        </is>
      </c>
      <c r="F4" s="8" t="inlineStr">
        <is>
          <t>Etapa afetada</t>
        </is>
      </c>
      <c r="G4" s="8" t="inlineStr">
        <is>
          <t>Registrado por</t>
        </is>
      </c>
    </row>
    <row r="5">
      <c r="A5" s="22" t="inlineStr">
        <is>
          <t>(exemplo — substituir)</t>
        </is>
      </c>
      <c r="B5" s="23" t="inlineStr">
        <is>
          <t>Lista de usuários (187)</t>
        </is>
      </c>
      <c r="C5" s="23" t="inlineStr">
        <is>
          <t>Arquivo entregue com 23 colaboradores sem e-mail corporativo; devolvido para correção.</t>
        </is>
      </c>
      <c r="D5" s="22" t="inlineStr">
        <is>
          <t>Cliente</t>
        </is>
      </c>
      <c r="E5" s="22" t="n">
        <v>4</v>
      </c>
      <c r="F5" s="23" t="inlineStr">
        <is>
          <t>2.3 Criação de logins</t>
        </is>
      </c>
      <c r="G5" s="23" t="inlineStr">
        <is>
          <t>Equipe de implantação</t>
        </is>
      </c>
    </row>
    <row r="6">
      <c r="A6" s="24" t="n"/>
      <c r="B6" s="25" t="n"/>
      <c r="C6" s="25" t="n"/>
      <c r="D6" s="25" t="n"/>
      <c r="E6" s="25" t="n"/>
      <c r="F6" s="25" t="n"/>
      <c r="G6" s="25" t="n"/>
    </row>
    <row r="7">
      <c r="A7" s="24" t="n"/>
      <c r="B7" s="25" t="n"/>
      <c r="C7" s="25" t="n"/>
      <c r="D7" s="25" t="n"/>
      <c r="E7" s="25" t="n"/>
      <c r="F7" s="25" t="n"/>
      <c r="G7" s="25" t="n"/>
    </row>
    <row r="8">
      <c r="A8" s="24" t="n"/>
      <c r="B8" s="25" t="n"/>
      <c r="C8" s="25" t="n"/>
      <c r="D8" s="25" t="n"/>
      <c r="E8" s="25" t="n"/>
      <c r="F8" s="25" t="n"/>
      <c r="G8" s="25" t="n"/>
    </row>
    <row r="9">
      <c r="A9" s="24" t="n"/>
      <c r="B9" s="25" t="n"/>
      <c r="C9" s="25" t="n"/>
      <c r="D9" s="25" t="n"/>
      <c r="E9" s="25" t="n"/>
      <c r="F9" s="25" t="n"/>
      <c r="G9" s="25" t="n"/>
    </row>
    <row r="10">
      <c r="A10" s="24" t="n"/>
      <c r="B10" s="25" t="n"/>
      <c r="C10" s="25" t="n"/>
      <c r="D10" s="25" t="n"/>
      <c r="E10" s="25" t="n"/>
      <c r="F10" s="25" t="n"/>
      <c r="G10" s="25" t="n"/>
    </row>
    <row r="11">
      <c r="A11" s="24" t="n"/>
      <c r="B11" s="25" t="n"/>
      <c r="C11" s="25" t="n"/>
      <c r="D11" s="25" t="n"/>
      <c r="E11" s="25" t="n"/>
      <c r="F11" s="25" t="n"/>
      <c r="G11" s="25" t="n"/>
    </row>
    <row r="12">
      <c r="A12" s="24" t="n"/>
      <c r="B12" s="25" t="n"/>
      <c r="C12" s="25" t="n"/>
      <c r="D12" s="25" t="n"/>
      <c r="E12" s="25" t="n"/>
      <c r="F12" s="25" t="n"/>
      <c r="G12" s="25" t="n"/>
    </row>
    <row r="13">
      <c r="A13" s="24" t="n"/>
      <c r="B13" s="25" t="n"/>
      <c r="C13" s="25" t="n"/>
      <c r="D13" s="25" t="n"/>
      <c r="E13" s="25" t="n"/>
      <c r="F13" s="25" t="n"/>
      <c r="G13" s="25" t="n"/>
    </row>
    <row r="14">
      <c r="A14" s="24" t="n"/>
      <c r="B14" s="25" t="n"/>
      <c r="C14" s="25" t="n"/>
      <c r="D14" s="25" t="n"/>
      <c r="E14" s="25" t="n"/>
      <c r="F14" s="25" t="n"/>
      <c r="G14" s="25" t="n"/>
    </row>
    <row r="15">
      <c r="A15" s="24" t="n"/>
      <c r="B15" s="25" t="n"/>
      <c r="C15" s="25" t="n"/>
      <c r="D15" s="25" t="n"/>
      <c r="E15" s="25" t="n"/>
      <c r="F15" s="25" t="n"/>
      <c r="G15" s="25" t="n"/>
    </row>
    <row r="16">
      <c r="A16" s="24" t="n"/>
      <c r="B16" s="25" t="n"/>
      <c r="C16" s="25" t="n"/>
      <c r="D16" s="25" t="n"/>
      <c r="E16" s="25" t="n"/>
      <c r="F16" s="25" t="n"/>
      <c r="G16" s="25" t="n"/>
    </row>
    <row r="17">
      <c r="A17" s="24" t="n"/>
      <c r="B17" s="25" t="n"/>
      <c r="C17" s="25" t="n"/>
      <c r="D17" s="25" t="n"/>
      <c r="E17" s="25" t="n"/>
      <c r="F17" s="25" t="n"/>
      <c r="G17" s="25" t="n"/>
    </row>
    <row r="18">
      <c r="A18" s="24" t="n"/>
      <c r="B18" s="25" t="n"/>
      <c r="C18" s="25" t="n"/>
      <c r="D18" s="25" t="n"/>
      <c r="E18" s="25" t="n"/>
      <c r="F18" s="25" t="n"/>
      <c r="G18" s="25" t="n"/>
    </row>
    <row r="19">
      <c r="A19" s="24" t="n"/>
      <c r="B19" s="25" t="n"/>
      <c r="C19" s="25" t="n"/>
      <c r="D19" s="25" t="n"/>
      <c r="E19" s="25" t="n"/>
      <c r="F19" s="25" t="n"/>
      <c r="G19" s="25" t="n"/>
    </row>
    <row r="20">
      <c r="A20" s="24" t="n"/>
      <c r="B20" s="25" t="n"/>
      <c r="C20" s="25" t="n"/>
      <c r="D20" s="25" t="n"/>
      <c r="E20" s="25" t="n"/>
      <c r="F20" s="25" t="n"/>
      <c r="G20" s="25" t="n"/>
    </row>
    <row r="21">
      <c r="A21" s="24" t="n"/>
      <c r="B21" s="25" t="n"/>
      <c r="C21" s="25" t="n"/>
      <c r="D21" s="25" t="n"/>
      <c r="E21" s="25" t="n"/>
      <c r="F21" s="25" t="n"/>
      <c r="G21" s="25" t="n"/>
    </row>
    <row r="22">
      <c r="A22" s="24" t="n"/>
      <c r="B22" s="25" t="n"/>
      <c r="C22" s="25" t="n"/>
      <c r="D22" s="25" t="n"/>
      <c r="E22" s="25" t="n"/>
      <c r="F22" s="25" t="n"/>
      <c r="G22" s="25" t="n"/>
    </row>
    <row r="23">
      <c r="A23" s="24" t="n"/>
      <c r="B23" s="25" t="n"/>
      <c r="C23" s="25" t="n"/>
      <c r="D23" s="25" t="n"/>
      <c r="E23" s="25" t="n"/>
      <c r="F23" s="25" t="n"/>
      <c r="G23" s="25" t="n"/>
    </row>
    <row r="24">
      <c r="A24" s="24" t="n"/>
      <c r="B24" s="25" t="n"/>
      <c r="C24" s="25" t="n"/>
      <c r="D24" s="25" t="n"/>
      <c r="E24" s="25" t="n"/>
      <c r="F24" s="25" t="n"/>
      <c r="G24" s="25" t="n"/>
    </row>
    <row r="25">
      <c r="A25" s="24" t="n"/>
      <c r="B25" s="25" t="n"/>
      <c r="C25" s="25" t="n"/>
      <c r="D25" s="25" t="n"/>
      <c r="E25" s="25" t="n"/>
      <c r="F25" s="25" t="n"/>
      <c r="G25" s="25" t="n"/>
    </row>
    <row r="26">
      <c r="A26" s="24" t="n"/>
      <c r="B26" s="25" t="n"/>
      <c r="C26" s="25" t="n"/>
      <c r="D26" s="25" t="n"/>
      <c r="E26" s="25" t="n"/>
      <c r="F26" s="25" t="n"/>
      <c r="G26" s="25" t="n"/>
    </row>
    <row r="27">
      <c r="A27" s="24" t="n"/>
      <c r="B27" s="25" t="n"/>
      <c r="C27" s="25" t="n"/>
      <c r="D27" s="25" t="n"/>
      <c r="E27" s="25" t="n"/>
      <c r="F27" s="25" t="n"/>
      <c r="G27" s="25" t="n"/>
    </row>
    <row r="28">
      <c r="A28" s="24" t="n"/>
      <c r="B28" s="25" t="n"/>
      <c r="C28" s="25" t="n"/>
      <c r="D28" s="25" t="n"/>
      <c r="E28" s="25" t="n"/>
      <c r="F28" s="25" t="n"/>
      <c r="G28" s="25" t="n"/>
    </row>
    <row r="29">
      <c r="A29" s="24" t="n"/>
      <c r="B29" s="25" t="n"/>
      <c r="C29" s="25" t="n"/>
      <c r="D29" s="25" t="n"/>
      <c r="E29" s="25" t="n"/>
      <c r="F29" s="25" t="n"/>
      <c r="G29" s="25" t="n"/>
    </row>
    <row r="30">
      <c r="A30" s="24" t="n"/>
      <c r="B30" s="25" t="n"/>
      <c r="C30" s="25" t="n"/>
      <c r="D30" s="25" t="n"/>
      <c r="E30" s="25" t="n"/>
      <c r="F30" s="25" t="n"/>
      <c r="G30" s="25" t="n"/>
    </row>
    <row r="31">
      <c r="A31" s="24" t="n"/>
      <c r="B31" s="25" t="n"/>
      <c r="C31" s="25" t="n"/>
      <c r="D31" s="25" t="n"/>
      <c r="E31" s="25" t="n"/>
      <c r="F31" s="25" t="n"/>
      <c r="G31" s="25" t="n"/>
    </row>
    <row r="32">
      <c r="A32" s="24" t="n"/>
      <c r="B32" s="25" t="n"/>
      <c r="C32" s="25" t="n"/>
      <c r="D32" s="25" t="n"/>
      <c r="E32" s="25" t="n"/>
      <c r="F32" s="25" t="n"/>
      <c r="G32" s="25" t="n"/>
    </row>
    <row r="33">
      <c r="A33" s="24" t="n"/>
      <c r="B33" s="25" t="n"/>
      <c r="C33" s="25" t="n"/>
      <c r="D33" s="25" t="n"/>
      <c r="E33" s="25" t="n"/>
      <c r="F33" s="25" t="n"/>
      <c r="G33" s="25" t="n"/>
    </row>
    <row r="34">
      <c r="A34" s="24" t="n"/>
      <c r="B34" s="25" t="n"/>
      <c r="C34" s="25" t="n"/>
      <c r="D34" s="25" t="n"/>
      <c r="E34" s="25" t="n"/>
      <c r="F34" s="25" t="n"/>
      <c r="G34" s="25" t="n"/>
    </row>
    <row r="35">
      <c r="A35" s="24" t="n"/>
      <c r="B35" s="25" t="n"/>
      <c r="C35" s="25" t="n"/>
      <c r="D35" s="25" t="n"/>
      <c r="E35" s="25" t="n"/>
      <c r="F35" s="25" t="n"/>
      <c r="G35" s="25" t="n"/>
    </row>
    <row r="36">
      <c r="A36" s="24" t="n"/>
      <c r="B36" s="25" t="n"/>
      <c r="C36" s="25" t="n"/>
      <c r="D36" s="25" t="n"/>
      <c r="E36" s="25" t="n"/>
      <c r="F36" s="25" t="n"/>
      <c r="G36" s="25" t="n"/>
    </row>
    <row r="37">
      <c r="A37" s="24" t="n"/>
      <c r="B37" s="25" t="n"/>
      <c r="C37" s="25" t="n"/>
      <c r="D37" s="25" t="n"/>
      <c r="E37" s="25" t="n"/>
      <c r="F37" s="25" t="n"/>
      <c r="G37" s="25" t="n"/>
    </row>
    <row r="38">
      <c r="A38" s="24" t="n"/>
      <c r="B38" s="25" t="n"/>
      <c r="C38" s="25" t="n"/>
      <c r="D38" s="25" t="n"/>
      <c r="E38" s="25" t="n"/>
      <c r="F38" s="25" t="n"/>
      <c r="G38" s="25" t="n"/>
    </row>
    <row r="39">
      <c r="A39" s="24" t="n"/>
      <c r="B39" s="25" t="n"/>
      <c r="C39" s="25" t="n"/>
      <c r="D39" s="25" t="n"/>
      <c r="E39" s="25" t="n"/>
      <c r="F39" s="25" t="n"/>
      <c r="G39" s="25" t="n"/>
    </row>
    <row r="41">
      <c r="D41" s="2" t="inlineStr">
        <is>
          <t>Total de dias de impacto:</t>
        </is>
      </c>
      <c r="E41" s="26">
        <f>SUM(E6:E39)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2026-09-10T12:24:32Z</dcterms:created>
  <dcterms:modified xsi:type="dcterms:W3CDTF">2026-09-10T12:24:32Z</dcterms:modified>
</cp:coreProperties>
</file>